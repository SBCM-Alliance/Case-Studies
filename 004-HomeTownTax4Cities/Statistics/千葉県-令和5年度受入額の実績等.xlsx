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codeName="ThisWorkbook"/>
  <mc:AlternateContent xmlns:mc="http://schemas.openxmlformats.org/markup-compatibility/2006">
    <mc:Choice Requires="x15">
      <x15ac:absPath xmlns:x15ac="http://schemas.microsoft.com/office/spreadsheetml/2010/11/ac" url="D:\User\913693\Desktop\Ｒ６現況最新公開Ｅｘｃｅｌ\"/>
    </mc:Choice>
  </mc:AlternateContent>
  <xr:revisionPtr revIDLastSave="0" documentId="8_{562D152E-F6AF-E84F-A5FD-CDC015215925}" xr6:coauthVersionLast="47" xr6:coauthVersionMax="47" xr10:uidLastSave="{00000000-0000-0000-0000-000000000000}"/>
  <bookViews>
    <workbookView xWindow="12090" yWindow="0" windowWidth="19200" windowHeight="6980" firstSheet="1" activeTab="1" xr2:uid="{00000000-000D-0000-FFFF-FFFF00000000}"/>
  </bookViews>
  <sheets>
    <sheet name="調査票Ａ（受入額・募集に要する経費関係） " sheetId="8" state="hidden" r:id="rId1"/>
    <sheet name="集計" sheetId="11" r:id="rId2"/>
    <sheet name="団体コード" sheetId="5" r:id="rId3"/>
  </sheets>
  <definedNames>
    <definedName name="_xlnm._FilterDatabase" localSheetId="1" hidden="1">集計!$A$13:$DF$68</definedName>
    <definedName name="_xlnm._FilterDatabase" localSheetId="2" hidden="1">団体コード!$A$1:$C$1789</definedName>
    <definedName name="_xlnm.Print_Area" localSheetId="0">'調査票Ａ（受入額・募集に要する経費関係） '!$A$1:$AN$240</definedName>
    <definedName name="tblDOUTAIwk_T" localSheetId="1">#REF!</definedName>
    <definedName name="tblDOUTAIwk_T" localSheetId="0">#REF!</definedName>
    <definedName name="tblDOUTAIwk_T">#REF!</definedName>
    <definedName name="Z_2EDC3A18_2F78_4A68_AFF6_C9C01AF63F43_.wvu.Cols" localSheetId="0" hidden="1">'調査票Ａ（受入額・募集に要する経費関係） '!$AN:$AS</definedName>
    <definedName name="Z_2EDC3A18_2F78_4A68_AFF6_C9C01AF63F43_.wvu.PrintArea" localSheetId="0" hidden="1">'調査票Ａ（受入額・募集に要する経費関係） '!$A$1:$AN$287</definedName>
    <definedName name="Z_2EDC3A18_2F78_4A68_AFF6_C9C01AF63F43_.wvu.Rows" localSheetId="0" hidden="1">'調査票Ａ（受入額・募集に要する経費関係） '!$185:$185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36" i="8" l="1"/>
  <c r="Z236" i="8"/>
  <c r="T236" i="8"/>
  <c r="N236" i="8"/>
  <c r="H236" i="8"/>
  <c r="AN236" i="8"/>
  <c r="AF233" i="8"/>
  <c r="Z233" i="8"/>
  <c r="T233" i="8"/>
  <c r="N233" i="8"/>
  <c r="H233" i="8"/>
  <c r="AR232" i="8"/>
  <c r="AQ232" i="8"/>
  <c r="AP232" i="8"/>
  <c r="AO232" i="8"/>
  <c r="AN232" i="8"/>
  <c r="AN229" i="8"/>
  <c r="J226" i="8"/>
  <c r="AF221" i="8"/>
  <c r="Z221" i="8"/>
  <c r="T221" i="8"/>
  <c r="N221" i="8"/>
  <c r="H221" i="8"/>
  <c r="AN221" i="8"/>
  <c r="AF218" i="8"/>
  <c r="Z218" i="8"/>
  <c r="T218" i="8"/>
  <c r="N218" i="8"/>
  <c r="H218" i="8"/>
  <c r="AR217" i="8"/>
  <c r="AQ217" i="8"/>
  <c r="AP217" i="8"/>
  <c r="AO217" i="8"/>
  <c r="AN217" i="8"/>
  <c r="AN214" i="8"/>
  <c r="J211" i="8"/>
  <c r="AF206" i="8"/>
  <c r="Z206" i="8"/>
  <c r="T206" i="8"/>
  <c r="N206" i="8"/>
  <c r="H206" i="8"/>
  <c r="AF203" i="8"/>
  <c r="Z203" i="8"/>
  <c r="T203" i="8"/>
  <c r="N203" i="8"/>
  <c r="H203" i="8"/>
  <c r="AR202" i="8"/>
  <c r="AQ202" i="8"/>
  <c r="AP202" i="8"/>
  <c r="AO202" i="8"/>
  <c r="AN202" i="8"/>
  <c r="AN199" i="8"/>
  <c r="J196" i="8"/>
  <c r="Z181" i="8"/>
  <c r="Z185" i="8"/>
  <c r="N181" i="8"/>
  <c r="N185" i="8"/>
  <c r="H181" i="8"/>
  <c r="H185" i="8"/>
  <c r="AN182" i="8"/>
  <c r="AF181" i="8"/>
  <c r="T181" i="8"/>
  <c r="AN181" i="8"/>
  <c r="T185" i="8"/>
  <c r="AF178" i="8"/>
  <c r="Z178" i="8"/>
  <c r="T178" i="8"/>
  <c r="N178" i="8"/>
  <c r="H178" i="8"/>
  <c r="AN177" i="8"/>
  <c r="AN174" i="8"/>
  <c r="AE43" i="8"/>
  <c r="O43" i="8"/>
  <c r="W43" i="8"/>
  <c r="W42" i="8"/>
  <c r="W41" i="8"/>
  <c r="W40" i="8"/>
  <c r="W39" i="8"/>
  <c r="W38" i="8"/>
  <c r="W37" i="8"/>
  <c r="AN203" i="8"/>
  <c r="AN206" i="8"/>
  <c r="AN218" i="8"/>
  <c r="AN233" i="8"/>
  <c r="AF185" i="8"/>
  <c r="AP185" i="8"/>
  <c r="AO185" i="8"/>
  <c r="AR185" i="8"/>
  <c r="AQ185" i="8"/>
  <c r="AP177" i="8"/>
  <c r="AQ177" i="8"/>
  <c r="AR177" i="8"/>
  <c r="AN185" i="8"/>
  <c r="AO177" i="8"/>
  <c r="AN178" i="8"/>
</calcChain>
</file>

<file path=xl/sharedStrings.xml><?xml version="1.0" encoding="utf-8"?>
<sst xmlns="http://schemas.openxmlformats.org/spreadsheetml/2006/main" count="7430" uniqueCount="16724">
  <si>
    <t>返礼割合</t>
    <rPh sb="0" eb="2">
      <t>ヘンレイ</t>
    </rPh>
    <rPh sb="2" eb="4">
      <t>ワリアイ</t>
    </rPh>
    <phoneticPr fontId="12"/>
  </si>
  <si>
    <t>円</t>
    <rPh sb="0" eb="1">
      <t>エン</t>
    </rPh>
    <phoneticPr fontId="12"/>
  </si>
  <si>
    <t>年</t>
    <rPh sb="0" eb="1">
      <t>ネン</t>
    </rPh>
    <phoneticPr fontId="12"/>
  </si>
  <si>
    <t>都道府県名</t>
    <phoneticPr fontId="12"/>
  </si>
  <si>
    <t>市区町村名</t>
    <phoneticPr fontId="12"/>
  </si>
  <si>
    <t>（件）</t>
    <phoneticPr fontId="12"/>
  </si>
  <si>
    <t>（円）</t>
    <rPh sb="1" eb="2">
      <t>エン</t>
    </rPh>
    <phoneticPr fontId="12"/>
  </si>
  <si>
    <t>＜Ⅱ.ふるさと納税の募集に要した費用＞</t>
    <phoneticPr fontId="12"/>
  </si>
  <si>
    <t>※区分の考え方</t>
    <phoneticPr fontId="12"/>
  </si>
  <si>
    <t>返礼品等の調達費用、公共施設等の入場を返礼品等とする場合における公共施設等の入場料 等</t>
    <phoneticPr fontId="12"/>
  </si>
  <si>
    <t>返礼品等の運送料、梱包費用 等</t>
    <phoneticPr fontId="12"/>
  </si>
  <si>
    <t>広報に係る費用</t>
    <phoneticPr fontId="12"/>
  </si>
  <si>
    <t>新聞広告の掲載に係る費用、インターネット広告の掲載に係る費用 等</t>
    <phoneticPr fontId="12"/>
  </si>
  <si>
    <t>決済等に係る費用</t>
    <phoneticPr fontId="12"/>
  </si>
  <si>
    <t>インターネット上のクレジットカード決済の手数料、金融機関の取扱い手数料 等</t>
    <phoneticPr fontId="12"/>
  </si>
  <si>
    <t>事務に係る費用</t>
    <phoneticPr fontId="12"/>
  </si>
  <si>
    <t>ふるさと納税の専任職員の人件費、返礼品等に係る情報をポータルサイトに掲載するための運営事業者に対する委託料 等</t>
    <phoneticPr fontId="12"/>
  </si>
  <si>
    <t>　（単位：円）</t>
    <phoneticPr fontId="12"/>
  </si>
  <si>
    <t>区分</t>
    <phoneticPr fontId="12"/>
  </si>
  <si>
    <t>その他</t>
    <phoneticPr fontId="12"/>
  </si>
  <si>
    <t>合計</t>
    <phoneticPr fontId="12"/>
  </si>
  <si>
    <t>・　（上記でその他に金額を記入した場合）具体的な内容を記入してください。</t>
    <phoneticPr fontId="12"/>
  </si>
  <si>
    <t>　　①　選択できる</t>
    <phoneticPr fontId="12"/>
  </si>
  <si>
    <t>　　②　選択できない</t>
    <phoneticPr fontId="12"/>
  </si>
  <si>
    <t>　  ①　分野を選択</t>
    <phoneticPr fontId="12"/>
  </si>
  <si>
    <t>　　②　具体的な事業を選択</t>
    <phoneticPr fontId="12"/>
  </si>
  <si>
    <t>　　①　まちづくり・市民活動</t>
    <phoneticPr fontId="12"/>
  </si>
  <si>
    <t>　　②　スポーツ・文化振興</t>
    <phoneticPr fontId="12"/>
  </si>
  <si>
    <t>　　③　健康・医療・福祉</t>
    <phoneticPr fontId="12"/>
  </si>
  <si>
    <t>　　④　環境・衛生</t>
    <phoneticPr fontId="12"/>
  </si>
  <si>
    <t>　　⑤　教育・人づくり</t>
    <phoneticPr fontId="12"/>
  </si>
  <si>
    <t>　　⑥　子ども・子育て</t>
    <phoneticPr fontId="12"/>
  </si>
  <si>
    <t>　　⑦　地域・産業振興</t>
    <phoneticPr fontId="12"/>
  </si>
  <si>
    <t>　　⑧　観光・交流・定住促進</t>
    <phoneticPr fontId="12"/>
  </si>
  <si>
    <t>　　⑨　安心・安全・防災</t>
    <phoneticPr fontId="12"/>
  </si>
  <si>
    <t>　　⑩　災害支援・復興</t>
    <phoneticPr fontId="12"/>
  </si>
  <si>
    <t xml:space="preserve">    ⑪　その他</t>
    <phoneticPr fontId="12"/>
  </si>
  <si>
    <t>①</t>
    <phoneticPr fontId="12"/>
  </si>
  <si>
    <t>事業名</t>
    <phoneticPr fontId="12"/>
  </si>
  <si>
    <t>該当する分野</t>
    <phoneticPr fontId="12"/>
  </si>
  <si>
    <t>目標とする寄附金額（円）</t>
    <phoneticPr fontId="12"/>
  </si>
  <si>
    <t>②</t>
    <phoneticPr fontId="12"/>
  </si>
  <si>
    <t>③</t>
    <phoneticPr fontId="12"/>
  </si>
  <si>
    <t>　　①まちづくり・市民活動</t>
    <phoneticPr fontId="12"/>
  </si>
  <si>
    <t>　　②スポーツ・文化振興</t>
    <phoneticPr fontId="12"/>
  </si>
  <si>
    <t>　　③健康・医療・福祉</t>
    <phoneticPr fontId="12"/>
  </si>
  <si>
    <t>　　④環境・衛生</t>
    <phoneticPr fontId="12"/>
  </si>
  <si>
    <t>　　⑤教育・人づくり</t>
    <phoneticPr fontId="12"/>
  </si>
  <si>
    <t>　　⑥子ども・子育て</t>
    <phoneticPr fontId="12"/>
  </si>
  <si>
    <t>　　⑦地域・産業振興</t>
    <phoneticPr fontId="12"/>
  </si>
  <si>
    <t>　　⑧観光・交流・定住促進</t>
    <phoneticPr fontId="12"/>
  </si>
  <si>
    <t>　　⑨安心・安全・防災</t>
    <phoneticPr fontId="12"/>
  </si>
  <si>
    <t>　　⑩災害支援・復興</t>
    <phoneticPr fontId="12"/>
  </si>
  <si>
    <t xml:space="preserve">    ⑪その他</t>
    <phoneticPr fontId="12"/>
  </si>
  <si>
    <t>　①　地域における起業家の増加</t>
    <phoneticPr fontId="12"/>
  </si>
  <si>
    <t>　②　移住・交流人口の増加</t>
    <phoneticPr fontId="12"/>
  </si>
  <si>
    <t>　③　教育関係事業の充実</t>
    <phoneticPr fontId="12"/>
  </si>
  <si>
    <t>　④　子育て支援等福祉施策の充実</t>
    <phoneticPr fontId="12"/>
  </si>
  <si>
    <t>　⑤　地域のイメージ向上</t>
    <phoneticPr fontId="12"/>
  </si>
  <si>
    <t>　⑥　地域産業の振興</t>
    <phoneticPr fontId="12"/>
  </si>
  <si>
    <t>　⑦　災害の復旧・復興</t>
    <phoneticPr fontId="12"/>
  </si>
  <si>
    <t>　⑧　その他</t>
    <phoneticPr fontId="12"/>
  </si>
  <si>
    <t>３．ふるさと納税の受入額実績・活用状況等について、公表（ＨＰ等で不特定多数に知らせることをいう。）又は報告等を行っていますか。該当するものに○をしてください（複数回答可）。</t>
    <phoneticPr fontId="12"/>
  </si>
  <si>
    <t>　①　受入額実績を公表している</t>
    <phoneticPr fontId="12"/>
  </si>
  <si>
    <t>　②　活用状況（事業内容等）を公表している</t>
    <phoneticPr fontId="12"/>
  </si>
  <si>
    <t>　③　寄附者に対して、寄附金を充当する事業の進捗状況・成果について報告している</t>
    <phoneticPr fontId="12"/>
  </si>
  <si>
    <t>品目名
（ポータルサイト等に掲載されている名称など、返礼品等の内容、品質、重量を記載）</t>
    <rPh sb="0" eb="2">
      <t>ヒンモク</t>
    </rPh>
    <rPh sb="2" eb="3">
      <t>メイ</t>
    </rPh>
    <rPh sb="12" eb="13">
      <t>トウ</t>
    </rPh>
    <rPh sb="14" eb="16">
      <t>ケイサイ</t>
    </rPh>
    <rPh sb="21" eb="23">
      <t>メイショウ</t>
    </rPh>
    <rPh sb="26" eb="28">
      <t>ヘンレイ</t>
    </rPh>
    <rPh sb="28" eb="29">
      <t>ヒン</t>
    </rPh>
    <rPh sb="29" eb="30">
      <t>トウ</t>
    </rPh>
    <rPh sb="31" eb="33">
      <t>ナイヨウ</t>
    </rPh>
    <rPh sb="34" eb="36">
      <t>ヒンシツ</t>
    </rPh>
    <rPh sb="37" eb="39">
      <t>ジュウリョウ</t>
    </rPh>
    <rPh sb="40" eb="42">
      <t>キサイ</t>
    </rPh>
    <phoneticPr fontId="12"/>
  </si>
  <si>
    <t>返礼品等
取扱期間</t>
    <rPh sb="0" eb="2">
      <t>ヘンレイ</t>
    </rPh>
    <rPh sb="2" eb="3">
      <t>ヒン</t>
    </rPh>
    <rPh sb="3" eb="4">
      <t>トウ</t>
    </rPh>
    <rPh sb="5" eb="6">
      <t>ト</t>
    </rPh>
    <rPh sb="6" eb="7">
      <t>アツカ</t>
    </rPh>
    <rPh sb="7" eb="9">
      <t>キカン</t>
    </rPh>
    <phoneticPr fontId="12"/>
  </si>
  <si>
    <t>開始年月日</t>
    <rPh sb="0" eb="2">
      <t>カイシ</t>
    </rPh>
    <rPh sb="2" eb="5">
      <t>ネンガッピ</t>
    </rPh>
    <phoneticPr fontId="12"/>
  </si>
  <si>
    <t>月</t>
    <rPh sb="0" eb="1">
      <t>ガツ</t>
    </rPh>
    <phoneticPr fontId="12"/>
  </si>
  <si>
    <t>日</t>
    <rPh sb="0" eb="1">
      <t>ニチ</t>
    </rPh>
    <phoneticPr fontId="12"/>
  </si>
  <si>
    <t>終了年月日</t>
    <rPh sb="0" eb="2">
      <t>シュウリョウ</t>
    </rPh>
    <rPh sb="2" eb="5">
      <t>ネンガッピ</t>
    </rPh>
    <phoneticPr fontId="12"/>
  </si>
  <si>
    <t>必要寄附金額（円）</t>
    <rPh sb="0" eb="2">
      <t>ヒツヨウ</t>
    </rPh>
    <rPh sb="2" eb="6">
      <t>キフキンガク</t>
    </rPh>
    <rPh sb="7" eb="8">
      <t>エン</t>
    </rPh>
    <phoneticPr fontId="12"/>
  </si>
  <si>
    <t>調達費用（円）</t>
    <rPh sb="0" eb="2">
      <t>チョウタツ</t>
    </rPh>
    <rPh sb="2" eb="4">
      <t>ヒヨウ</t>
    </rPh>
    <phoneticPr fontId="12"/>
  </si>
  <si>
    <t>＜Ⅲ.　ふるさと納税を募集する際の取組＞</t>
    <phoneticPr fontId="12"/>
  </si>
  <si>
    <t>市区町村
団体コード</t>
    <rPh sb="0" eb="4">
      <t>シクチョウソン</t>
    </rPh>
    <rPh sb="5" eb="7">
      <t>ダンタイ</t>
    </rPh>
    <phoneticPr fontId="13"/>
  </si>
  <si>
    <t>都道府県</t>
    <rPh sb="0" eb="4">
      <t>トドウフケン</t>
    </rPh>
    <phoneticPr fontId="13"/>
  </si>
  <si>
    <t>市区町村</t>
    <rPh sb="0" eb="2">
      <t>シク</t>
    </rPh>
    <rPh sb="2" eb="4">
      <t>チョウソン</t>
    </rPh>
    <phoneticPr fontId="13"/>
  </si>
  <si>
    <t>②　①のうち、市区町村外(都道府県外）からの寄附に係るもの</t>
  </si>
  <si>
    <t>④　①のうち、被災地方団体の代理受入に係るもの</t>
  </si>
  <si>
    <t>広報に係る費用</t>
  </si>
  <si>
    <t>決済等に係る費用</t>
  </si>
  <si>
    <t>その他</t>
  </si>
  <si>
    <t>合計</t>
    <rPh sb="0" eb="2">
      <t>ゴウケイ</t>
    </rPh>
    <phoneticPr fontId="13"/>
  </si>
  <si>
    <t>①まちづくり・市民活動</t>
  </si>
  <si>
    <t>②スポーツ・文化振興</t>
  </si>
  <si>
    <t>③健康・医療・福祉</t>
  </si>
  <si>
    <t>④環境・衛生</t>
  </si>
  <si>
    <t>⑤教育・人づくり</t>
  </si>
  <si>
    <t>⑥子ども・子育て</t>
  </si>
  <si>
    <t>⑦地域・産業振興</t>
  </si>
  <si>
    <t>⑧観光・交流・定住促進</t>
  </si>
  <si>
    <t>⑨安心・安全・防災</t>
  </si>
  <si>
    <t>⑩災害支援・復興</t>
  </si>
  <si>
    <t>事業名</t>
  </si>
  <si>
    <t>該当する分野</t>
  </si>
  <si>
    <t>目標とする寄附金額（円）</t>
  </si>
  <si>
    <t>①受入額実績を公表している</t>
  </si>
  <si>
    <t>②活用状況（事業内容等）を公表している</t>
  </si>
  <si>
    <t>③寄附者に対して、寄附金を充当する事業の進捗状況・成果について報告している</t>
  </si>
  <si>
    <t>010006</t>
  </si>
  <si>
    <t>北海道</t>
  </si>
  <si>
    <t>011002</t>
  </si>
  <si>
    <t>札幌市</t>
  </si>
  <si>
    <t>012025</t>
  </si>
  <si>
    <t>函館市</t>
  </si>
  <si>
    <t>012033</t>
  </si>
  <si>
    <t>小樽市</t>
  </si>
  <si>
    <t>012041</t>
  </si>
  <si>
    <t>旭川市</t>
  </si>
  <si>
    <t>012050</t>
  </si>
  <si>
    <t>室蘭市</t>
  </si>
  <si>
    <t>012068</t>
  </si>
  <si>
    <t>釧路市</t>
  </si>
  <si>
    <t>012076</t>
  </si>
  <si>
    <t>帯広市</t>
  </si>
  <si>
    <t>012084</t>
  </si>
  <si>
    <t>北見市</t>
  </si>
  <si>
    <t>012092</t>
  </si>
  <si>
    <t>夕張市</t>
  </si>
  <si>
    <t>012106</t>
  </si>
  <si>
    <t>岩見沢市</t>
  </si>
  <si>
    <t>012114</t>
  </si>
  <si>
    <t>網走市</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</si>
  <si>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</si>
  <si>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</si>
  <si>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</si>
  <si>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</si>
  <si>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</si>
  <si>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</si>
  <si>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</si>
  <si>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</si>
  <si>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</si>
  <si>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</si>
  <si>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</si>
  <si>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</si>
  <si>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</si>
  <si>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</si>
  <si>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</si>
  <si>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</si>
  <si>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</si>
  <si>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</si>
  <si>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</si>
  <si>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</si>
  <si>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</si>
  <si>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</si>
  <si>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</si>
  <si>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</si>
  <si>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012246</t>
  </si>
  <si>
    <t>千歳市</t>
  </si>
  <si>
    <t>012254</t>
  </si>
  <si>
    <t>滝川市</t>
  </si>
  <si>
    <t>012262</t>
  </si>
  <si>
    <t>砂川市</t>
  </si>
  <si>
    <t>012271</t>
  </si>
  <si>
    <t>歌志内市</t>
  </si>
  <si>
    <t>012289</t>
  </si>
  <si>
    <t>深川市</t>
  </si>
  <si>
    <t>012297</t>
  </si>
  <si>
    <t>富良野市</t>
  </si>
  <si>
    <t>012301</t>
  </si>
  <si>
    <t>登別市</t>
  </si>
  <si>
    <t>012319</t>
  </si>
  <si>
    <t>恵庭市</t>
  </si>
  <si>
    <t>012335</t>
  </si>
  <si>
    <t>伊達市</t>
  </si>
  <si>
    <t>012343</t>
  </si>
  <si>
    <t>北広島市</t>
  </si>
  <si>
    <t>012351</t>
  </si>
  <si>
    <t>石狩市</t>
  </si>
  <si>
    <t>012360</t>
  </si>
  <si>
    <t>北斗市</t>
  </si>
  <si>
    <t>013030</t>
  </si>
  <si>
    <t>当別町</t>
  </si>
  <si>
    <t>013048</t>
  </si>
  <si>
    <t>新篠津村</t>
  </si>
  <si>
    <t>013315</t>
  </si>
  <si>
    <t>松前町</t>
  </si>
  <si>
    <t>013323</t>
  </si>
  <si>
    <t>福島町</t>
  </si>
  <si>
    <t>013331</t>
  </si>
  <si>
    <t>知内町</t>
  </si>
  <si>
    <t>013340</t>
  </si>
  <si>
    <t>木古内町</t>
  </si>
  <si>
    <t>013374</t>
  </si>
  <si>
    <t>七飯町</t>
  </si>
  <si>
    <t>013439</t>
  </si>
  <si>
    <t>鹿部町</t>
  </si>
  <si>
    <t>013455</t>
  </si>
  <si>
    <t>森町</t>
  </si>
  <si>
    <t>013463</t>
  </si>
  <si>
    <t>八雲町</t>
  </si>
  <si>
    <t>013471</t>
  </si>
  <si>
    <t>013617</t>
  </si>
  <si>
    <t>江差町</t>
  </si>
  <si>
    <t>013625</t>
  </si>
  <si>
    <t>上ノ国町</t>
  </si>
  <si>
    <t>013633</t>
  </si>
  <si>
    <t>厚沢部町</t>
  </si>
  <si>
    <t>013641</t>
  </si>
  <si>
    <t>乙部町</t>
  </si>
  <si>
    <t>013676</t>
  </si>
  <si>
    <t>奥尻町</t>
  </si>
  <si>
    <t>013706</t>
  </si>
  <si>
    <t>今金町</t>
  </si>
  <si>
    <t>013714</t>
  </si>
  <si>
    <t>せたな町</t>
  </si>
  <si>
    <t>013919</t>
  </si>
  <si>
    <t>島牧村</t>
  </si>
  <si>
    <t>013927</t>
  </si>
  <si>
    <t>寿都町</t>
  </si>
  <si>
    <t>013935</t>
  </si>
  <si>
    <t>黒松内町</t>
  </si>
  <si>
    <t>013943</t>
  </si>
  <si>
    <t>蘭越町</t>
  </si>
  <si>
    <t>013951</t>
  </si>
  <si>
    <t>ニセコ町</t>
  </si>
  <si>
    <t>013960</t>
  </si>
  <si>
    <t>真狩村</t>
  </si>
  <si>
    <t>013978</t>
  </si>
  <si>
    <t>留寿都村</t>
  </si>
  <si>
    <t>013986</t>
  </si>
  <si>
    <t>喜茂別町</t>
  </si>
  <si>
    <t>013994</t>
  </si>
  <si>
    <t>京極町</t>
  </si>
  <si>
    <t>014001</t>
  </si>
  <si>
    <t>倶知安町</t>
  </si>
  <si>
    <t>014010</t>
  </si>
  <si>
    <t>共和町</t>
  </si>
  <si>
    <t>014028</t>
  </si>
  <si>
    <t>岩内町</t>
  </si>
  <si>
    <t>014036</t>
  </si>
  <si>
    <t>泊村</t>
  </si>
  <si>
    <t>014044</t>
  </si>
  <si>
    <t>神恵内村</t>
  </si>
  <si>
    <t>014052</t>
  </si>
  <si>
    <t>積丹町</t>
  </si>
  <si>
    <t>014061</t>
  </si>
  <si>
    <t>古平町</t>
  </si>
  <si>
    <t>014079</t>
  </si>
  <si>
    <t>仁木町</t>
  </si>
  <si>
    <t>014087</t>
  </si>
  <si>
    <t>余市町</t>
  </si>
  <si>
    <t>014095</t>
  </si>
  <si>
    <t>赤井川村</t>
  </si>
  <si>
    <t>014231</t>
  </si>
  <si>
    <t>南幌町</t>
  </si>
  <si>
    <t>014249</t>
  </si>
  <si>
    <t>奈井江町</t>
  </si>
  <si>
    <t>014257</t>
  </si>
  <si>
    <t>上砂川町</t>
  </si>
  <si>
    <t>014273</t>
  </si>
  <si>
    <t>由仁町</t>
  </si>
  <si>
    <t>014281</t>
  </si>
  <si>
    <t>長沼町</t>
  </si>
  <si>
    <t>014290</t>
  </si>
  <si>
    <t>栗山町</t>
  </si>
  <si>
    <t>014303</t>
  </si>
  <si>
    <t>月形町</t>
  </si>
  <si>
    <t>014311</t>
  </si>
  <si>
    <t>浦臼町</t>
  </si>
  <si>
    <t>014320</t>
  </si>
  <si>
    <t>新十津川町</t>
  </si>
  <si>
    <t>014338</t>
  </si>
  <si>
    <t>妹背牛町</t>
  </si>
  <si>
    <t>014346</t>
  </si>
  <si>
    <t>秩父別町</t>
  </si>
  <si>
    <t>014362</t>
  </si>
  <si>
    <t>雨竜町</t>
  </si>
  <si>
    <t>014371</t>
  </si>
  <si>
    <t>北竜町</t>
  </si>
  <si>
    <t>014389</t>
  </si>
  <si>
    <t>沼田町</t>
  </si>
  <si>
    <t>014524</t>
  </si>
  <si>
    <t>鷹栖町</t>
  </si>
  <si>
    <t>014532</t>
  </si>
  <si>
    <t>東神楽町</t>
  </si>
  <si>
    <t>014541</t>
  </si>
  <si>
    <t>当麻町</t>
  </si>
  <si>
    <t>014559</t>
  </si>
  <si>
    <t>比布町</t>
  </si>
  <si>
    <t>014567</t>
  </si>
  <si>
    <t>愛別町</t>
  </si>
  <si>
    <t>014575</t>
  </si>
  <si>
    <t>上川町</t>
  </si>
  <si>
    <t>014583</t>
  </si>
  <si>
    <t>東川町</t>
  </si>
  <si>
    <t>014591</t>
  </si>
  <si>
    <t>美瑛町</t>
  </si>
  <si>
    <t>014605</t>
  </si>
  <si>
    <t>上富良野町</t>
  </si>
  <si>
    <t>014613</t>
  </si>
  <si>
    <t>中富良野町</t>
  </si>
  <si>
    <t>014621</t>
  </si>
  <si>
    <t>南富良野町</t>
  </si>
  <si>
    <t>014630</t>
  </si>
  <si>
    <t>占冠村</t>
  </si>
  <si>
    <t>014648</t>
  </si>
  <si>
    <t>和寒町</t>
  </si>
  <si>
    <t>014656</t>
  </si>
  <si>
    <t>剣淵町</t>
  </si>
  <si>
    <t>014681</t>
  </si>
  <si>
    <t>下川町</t>
  </si>
  <si>
    <t>014699</t>
  </si>
  <si>
    <t>美深町</t>
  </si>
  <si>
    <t>014702</t>
  </si>
  <si>
    <t>音威子府村</t>
  </si>
  <si>
    <t>014711</t>
  </si>
  <si>
    <t>中川町</t>
  </si>
  <si>
    <t>014729</t>
  </si>
  <si>
    <t>幌加内町</t>
  </si>
  <si>
    <t>014818</t>
  </si>
  <si>
    <t>増毛町</t>
  </si>
  <si>
    <t>014826</t>
  </si>
  <si>
    <t>小平町</t>
  </si>
  <si>
    <t>014834</t>
  </si>
  <si>
    <t>苫前町</t>
  </si>
  <si>
    <t>014842</t>
  </si>
  <si>
    <t>羽幌町</t>
  </si>
  <si>
    <t>014851</t>
  </si>
  <si>
    <t>初山別村</t>
  </si>
  <si>
    <t>014869</t>
  </si>
  <si>
    <t>遠別町</t>
  </si>
  <si>
    <t>014877</t>
  </si>
  <si>
    <t>天塩町</t>
  </si>
  <si>
    <t>015113</t>
  </si>
  <si>
    <t>猿払村</t>
  </si>
  <si>
    <t>015121</t>
  </si>
  <si>
    <t>浜頓別町</t>
  </si>
  <si>
    <t>015130</t>
  </si>
  <si>
    <t>中頓別町</t>
  </si>
  <si>
    <t>015148</t>
  </si>
  <si>
    <t>枝幸町</t>
  </si>
  <si>
    <t>015164</t>
  </si>
  <si>
    <t>豊富町</t>
  </si>
  <si>
    <t>015172</t>
  </si>
  <si>
    <t>礼文町</t>
  </si>
  <si>
    <t>015181</t>
  </si>
  <si>
    <t>利尻町</t>
  </si>
  <si>
    <t>015199</t>
  </si>
  <si>
    <t>利尻富士町</t>
  </si>
  <si>
    <t>015202</t>
  </si>
  <si>
    <t>幌延町</t>
  </si>
  <si>
    <t>015431</t>
  </si>
  <si>
    <t>美幌町</t>
  </si>
  <si>
    <t>015440</t>
  </si>
  <si>
    <t>津別町</t>
  </si>
  <si>
    <t>015458</t>
  </si>
  <si>
    <t>斜里町</t>
  </si>
  <si>
    <t>015466</t>
  </si>
  <si>
    <t>清里町</t>
  </si>
  <si>
    <t>015474</t>
  </si>
  <si>
    <t>小清水町</t>
  </si>
  <si>
    <t>015491</t>
  </si>
  <si>
    <t>訓子府町</t>
  </si>
  <si>
    <t>015504</t>
  </si>
  <si>
    <t>置戸町</t>
  </si>
  <si>
    <t>015521</t>
  </si>
  <si>
    <t>佐呂間町</t>
  </si>
  <si>
    <t>015555</t>
  </si>
  <si>
    <t>遠軽町</t>
  </si>
  <si>
    <t>015598</t>
  </si>
  <si>
    <t>湧別町</t>
  </si>
  <si>
    <t>015601</t>
  </si>
  <si>
    <t>滝上町</t>
  </si>
  <si>
    <t>015610</t>
  </si>
  <si>
    <t>興部町</t>
  </si>
  <si>
    <t>015628</t>
  </si>
  <si>
    <t>西興部村</t>
  </si>
  <si>
    <t>015636</t>
  </si>
  <si>
    <t>雄武町</t>
  </si>
  <si>
    <t>015644</t>
  </si>
  <si>
    <t>大空町</t>
  </si>
  <si>
    <t>015717</t>
  </si>
  <si>
    <t>豊浦町</t>
  </si>
  <si>
    <t>015750</t>
  </si>
  <si>
    <t>壮瞥町</t>
  </si>
  <si>
    <t>015784</t>
  </si>
  <si>
    <t>白老町</t>
  </si>
  <si>
    <t>015814</t>
  </si>
  <si>
    <t>厚真町</t>
  </si>
  <si>
    <t>015849</t>
  </si>
  <si>
    <t>洞爺湖町</t>
  </si>
  <si>
    <t>015857</t>
  </si>
  <si>
    <t>安平町</t>
  </si>
  <si>
    <t>015865</t>
  </si>
  <si>
    <t>むかわ町</t>
  </si>
  <si>
    <t>016012</t>
  </si>
  <si>
    <t>日高町</t>
  </si>
  <si>
    <t>016021</t>
  </si>
  <si>
    <t>平取町</t>
  </si>
  <si>
    <t>016047</t>
  </si>
  <si>
    <t>新冠町</t>
  </si>
  <si>
    <t>016071</t>
  </si>
  <si>
    <t>浦河町</t>
  </si>
  <si>
    <t>016080</t>
  </si>
  <si>
    <t>様似町</t>
  </si>
  <si>
    <t>016098</t>
  </si>
  <si>
    <t>えりも町</t>
  </si>
  <si>
    <t>016101</t>
  </si>
  <si>
    <t>新ひだか町</t>
  </si>
  <si>
    <t>016314</t>
  </si>
  <si>
    <t>音更町</t>
  </si>
  <si>
    <t>016322</t>
  </si>
  <si>
    <t>士幌町</t>
  </si>
  <si>
    <t>016331</t>
  </si>
  <si>
    <t>上士幌町</t>
  </si>
  <si>
    <t>016349</t>
  </si>
  <si>
    <t>鹿追町</t>
  </si>
  <si>
    <t>016357</t>
  </si>
  <si>
    <t>新得町</t>
  </si>
  <si>
    <t>016365</t>
  </si>
  <si>
    <t>清水町</t>
  </si>
  <si>
    <t>016373</t>
  </si>
  <si>
    <t>芽室町</t>
  </si>
  <si>
    <t>016381</t>
  </si>
  <si>
    <t>中札内村</t>
  </si>
  <si>
    <t>016390</t>
  </si>
  <si>
    <t>更別村</t>
  </si>
  <si>
    <t>016411</t>
  </si>
  <si>
    <t>大樹町</t>
  </si>
  <si>
    <t>016420</t>
  </si>
  <si>
    <t>広尾町</t>
  </si>
  <si>
    <t>016438</t>
  </si>
  <si>
    <t>幕別町</t>
  </si>
  <si>
    <t>016446</t>
  </si>
  <si>
    <t>池田町</t>
  </si>
  <si>
    <t>016454</t>
  </si>
  <si>
    <t>豊頃町</t>
  </si>
  <si>
    <t>016462</t>
  </si>
  <si>
    <t>本別町</t>
  </si>
  <si>
    <t>016471</t>
  </si>
  <si>
    <t>足寄町</t>
  </si>
  <si>
    <t>016489</t>
  </si>
  <si>
    <t>陸別町</t>
  </si>
  <si>
    <t>016497</t>
  </si>
  <si>
    <t>浦幌町</t>
  </si>
  <si>
    <t>016616</t>
  </si>
  <si>
    <t>釧路町</t>
  </si>
  <si>
    <t>016624</t>
  </si>
  <si>
    <t>厚岸町</t>
  </si>
  <si>
    <t>016632</t>
  </si>
  <si>
    <t>浜中町</t>
  </si>
  <si>
    <t>016641</t>
  </si>
  <si>
    <t>標茶町</t>
  </si>
  <si>
    <t>016659</t>
  </si>
  <si>
    <t>弟子屈町</t>
  </si>
  <si>
    <t>016675</t>
  </si>
  <si>
    <t>鶴居村</t>
  </si>
  <si>
    <t>016683</t>
  </si>
  <si>
    <t>白糠町</t>
  </si>
  <si>
    <t>016918</t>
  </si>
  <si>
    <t>別海町</t>
  </si>
  <si>
    <t>016926</t>
  </si>
  <si>
    <t>中標津町</t>
  </si>
  <si>
    <t>016934</t>
  </si>
  <si>
    <t>標津町</t>
  </si>
  <si>
    <t>016942</t>
  </si>
  <si>
    <t>羅臼町</t>
  </si>
  <si>
    <t>020001</t>
  </si>
  <si>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</si>
  <si>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</si>
  <si>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</si>
  <si>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</si>
  <si>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</si>
  <si>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</si>
  <si>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</si>
  <si>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</si>
  <si>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</si>
  <si>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</si>
  <si>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</si>
  <si>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</si>
  <si>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</si>
  <si>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</si>
  <si>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</si>
  <si>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</si>
  <si>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</si>
  <si>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</si>
  <si>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</si>
  <si>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</si>
  <si>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</si>
  <si>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023019</t>
  </si>
  <si>
    <t>平内町</t>
  </si>
  <si>
    <t>023035</t>
  </si>
  <si>
    <t>今別町</t>
  </si>
  <si>
    <t>023043</t>
  </si>
  <si>
    <t>蓬田村</t>
  </si>
  <si>
    <t>023078</t>
  </si>
  <si>
    <t>外ヶ浜町</t>
  </si>
  <si>
    <t>023213</t>
  </si>
  <si>
    <t>鰺ヶ沢町</t>
  </si>
  <si>
    <t>023230</t>
  </si>
  <si>
    <t>深浦町</t>
  </si>
  <si>
    <t>023434</t>
  </si>
  <si>
    <t>西目屋村</t>
  </si>
  <si>
    <t>023612</t>
  </si>
  <si>
    <t>藤崎町</t>
  </si>
  <si>
    <t>023621</t>
  </si>
  <si>
    <t>大鰐町</t>
  </si>
  <si>
    <t>023671</t>
  </si>
  <si>
    <t>田舎館村</t>
  </si>
  <si>
    <t>023817</t>
  </si>
  <si>
    <t>板柳町</t>
  </si>
  <si>
    <t>023841</t>
  </si>
  <si>
    <t>鶴田町</t>
  </si>
  <si>
    <t>023876</t>
  </si>
  <si>
    <t>中泊町</t>
  </si>
  <si>
    <t>024015</t>
  </si>
  <si>
    <t>野辺地町</t>
  </si>
  <si>
    <t>024023</t>
  </si>
  <si>
    <t>七戸町</t>
  </si>
  <si>
    <t>024058</t>
  </si>
  <si>
    <t>六戸町</t>
  </si>
  <si>
    <t>024066</t>
  </si>
  <si>
    <t>横浜町</t>
  </si>
  <si>
    <t>024082</t>
  </si>
  <si>
    <t>東北町</t>
  </si>
  <si>
    <t>024112</t>
  </si>
  <si>
    <t>六ヶ所村</t>
  </si>
  <si>
    <t>024121</t>
  </si>
  <si>
    <t>おいらせ町</t>
  </si>
  <si>
    <t>024236</t>
  </si>
  <si>
    <t>大間町</t>
  </si>
  <si>
    <t>024244</t>
  </si>
  <si>
    <t>東通村</t>
  </si>
  <si>
    <t>024252</t>
  </si>
  <si>
    <t>風間浦村</t>
  </si>
  <si>
    <t>024261</t>
  </si>
  <si>
    <t>佐井村</t>
  </si>
  <si>
    <t>024414</t>
  </si>
  <si>
    <t>三戸町</t>
  </si>
  <si>
    <t>024422</t>
  </si>
  <si>
    <t>五戸町</t>
  </si>
  <si>
    <t>024431</t>
  </si>
  <si>
    <t>田子町</t>
  </si>
  <si>
    <t>024457</t>
  </si>
  <si>
    <t>南部町</t>
  </si>
  <si>
    <t>024465</t>
  </si>
  <si>
    <t>階上町</t>
  </si>
  <si>
    <t>024503</t>
  </si>
  <si>
    <t>新郷村</t>
  </si>
  <si>
    <t>030007</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</si>
  <si>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</si>
  <si>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</si>
  <si>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</si>
  <si>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</si>
  <si>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</si>
  <si>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</si>
  <si>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</si>
  <si>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</si>
  <si>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</si>
  <si>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</si>
  <si>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</si>
  <si>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</si>
  <si>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</si>
  <si>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</si>
  <si>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</si>
  <si>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</si>
  <si>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</si>
  <si>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032107</t>
  </si>
  <si>
    <t>陸前高田市</t>
  </si>
  <si>
    <t>032115</t>
  </si>
  <si>
    <t>釜石市</t>
  </si>
  <si>
    <t>032131</t>
  </si>
  <si>
    <t>二戸市</t>
  </si>
  <si>
    <t>032140</t>
  </si>
  <si>
    <t>八幡平市</t>
  </si>
  <si>
    <t>032158</t>
  </si>
  <si>
    <t>奥州市</t>
  </si>
  <si>
    <t>032166</t>
  </si>
  <si>
    <t>033014</t>
  </si>
  <si>
    <t>雫石町</t>
  </si>
  <si>
    <t>033022</t>
  </si>
  <si>
    <t>葛巻町</t>
  </si>
  <si>
    <t>033031</t>
  </si>
  <si>
    <t>岩手町</t>
  </si>
  <si>
    <t>033219</t>
  </si>
  <si>
    <t>紫波町</t>
  </si>
  <si>
    <t>033227</t>
  </si>
  <si>
    <t>矢巾町</t>
  </si>
  <si>
    <t>033669</t>
  </si>
  <si>
    <t>西和賀町</t>
  </si>
  <si>
    <t>033812</t>
  </si>
  <si>
    <t>金ケ崎町</t>
  </si>
  <si>
    <t>034029</t>
  </si>
  <si>
    <t>平泉町</t>
  </si>
  <si>
    <t>034410</t>
  </si>
  <si>
    <t>住田町</t>
  </si>
  <si>
    <t>034614</t>
  </si>
  <si>
    <t>大槌町</t>
  </si>
  <si>
    <t>034827</t>
  </si>
  <si>
    <t>山田町</t>
  </si>
  <si>
    <t>034835</t>
  </si>
  <si>
    <t>岩泉町</t>
  </si>
  <si>
    <t>034843</t>
  </si>
  <si>
    <t>田野畑村</t>
  </si>
  <si>
    <t>034851</t>
  </si>
  <si>
    <t>普代村</t>
  </si>
  <si>
    <t>035017</t>
  </si>
  <si>
    <t>軽米町</t>
  </si>
  <si>
    <t>035033</t>
  </si>
  <si>
    <t>野田村</t>
  </si>
  <si>
    <t>035068</t>
  </si>
  <si>
    <t>九戸村</t>
  </si>
  <si>
    <t>035076</t>
  </si>
  <si>
    <t>洋野町</t>
  </si>
  <si>
    <t>035246</t>
  </si>
  <si>
    <t>一戸町</t>
  </si>
  <si>
    <t>040002</t>
  </si>
  <si>
    <t>宮城県</t>
  </si>
  <si>
    <t>041009</t>
  </si>
  <si>
    <t>仙台市</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</si>
  <si>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</si>
  <si>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</si>
  <si>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</si>
  <si>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</si>
  <si>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</si>
  <si>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</si>
  <si>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</si>
  <si>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</si>
  <si>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</si>
  <si>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</si>
  <si>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</si>
  <si>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</si>
  <si>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</si>
  <si>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</si>
  <si>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</si>
  <si>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</si>
  <si>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</si>
  <si>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</si>
  <si>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</si>
  <si>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</si>
  <si>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</si>
  <si>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</si>
  <si>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</si>
  <si>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</si>
  <si>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042161</t>
  </si>
  <si>
    <t>043010</t>
  </si>
  <si>
    <t>蔵王町</t>
  </si>
  <si>
    <t>043028</t>
  </si>
  <si>
    <t>七ヶ宿町</t>
  </si>
  <si>
    <t>043214</t>
  </si>
  <si>
    <t>大河原町</t>
  </si>
  <si>
    <t>043222</t>
  </si>
  <si>
    <t>村田町</t>
  </si>
  <si>
    <t>043231</t>
  </si>
  <si>
    <t>柴田町</t>
  </si>
  <si>
    <t>043249</t>
  </si>
  <si>
    <t>川崎町</t>
  </si>
  <si>
    <t>043419</t>
  </si>
  <si>
    <t>丸森町</t>
  </si>
  <si>
    <t>043613</t>
  </si>
  <si>
    <t>亘理町</t>
  </si>
  <si>
    <t>043621</t>
  </si>
  <si>
    <t>山元町</t>
  </si>
  <si>
    <t>044016</t>
  </si>
  <si>
    <t>松島町</t>
  </si>
  <si>
    <t>044041</t>
  </si>
  <si>
    <t>七ヶ浜町</t>
  </si>
  <si>
    <t>044067</t>
  </si>
  <si>
    <t>利府町</t>
  </si>
  <si>
    <t>044211</t>
  </si>
  <si>
    <t>大和町</t>
  </si>
  <si>
    <t>044229</t>
  </si>
  <si>
    <t>大郷町</t>
  </si>
  <si>
    <t>044245</t>
  </si>
  <si>
    <t>大衡村</t>
  </si>
  <si>
    <t>044440</t>
  </si>
  <si>
    <t>色麻町</t>
  </si>
  <si>
    <t>044458</t>
  </si>
  <si>
    <t>加美町</t>
  </si>
  <si>
    <t>045012</t>
  </si>
  <si>
    <t>涌谷町</t>
  </si>
  <si>
    <t>045055</t>
  </si>
  <si>
    <t>美里町</t>
  </si>
  <si>
    <t>045811</t>
  </si>
  <si>
    <t>女川町</t>
  </si>
  <si>
    <t>046060</t>
  </si>
  <si>
    <t>南三陸町</t>
  </si>
  <si>
    <t>050008</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</si>
  <si>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</si>
  <si>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</si>
  <si>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</si>
  <si>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</si>
  <si>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</si>
  <si>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</si>
  <si>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</si>
  <si>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</si>
  <si>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</si>
  <si>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</si>
  <si>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</si>
  <si>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</si>
  <si>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</si>
  <si>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</si>
  <si>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</si>
  <si>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</si>
  <si>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</si>
  <si>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</si>
  <si>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</si>
  <si>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</si>
  <si>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</si>
  <si>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</si>
  <si>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</si>
  <si>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</si>
  <si>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</si>
  <si>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</si>
  <si>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</si>
  <si>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053031</t>
  </si>
  <si>
    <t>小坂町</t>
  </si>
  <si>
    <t>053279</t>
  </si>
  <si>
    <t>上小阿仁村</t>
  </si>
  <si>
    <t>053465</t>
  </si>
  <si>
    <t>藤里町</t>
  </si>
  <si>
    <t>053481</t>
  </si>
  <si>
    <t>三種町</t>
  </si>
  <si>
    <t>053490</t>
  </si>
  <si>
    <t>八峰町</t>
  </si>
  <si>
    <t>053619</t>
  </si>
  <si>
    <t>五城目町</t>
  </si>
  <si>
    <t>053635</t>
  </si>
  <si>
    <t>八郎潟町</t>
  </si>
  <si>
    <t>053660</t>
  </si>
  <si>
    <t>井川町</t>
  </si>
  <si>
    <t>053686</t>
  </si>
  <si>
    <t>大潟村</t>
  </si>
  <si>
    <t>054348</t>
  </si>
  <si>
    <t>美郷町</t>
  </si>
  <si>
    <t>054631</t>
  </si>
  <si>
    <t>羽後町</t>
  </si>
  <si>
    <t>054640</t>
  </si>
  <si>
    <t>東成瀬村</t>
  </si>
  <si>
    <t>060003</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</si>
  <si>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</si>
  <si>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</si>
  <si>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</si>
  <si>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</si>
  <si>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</si>
  <si>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</si>
  <si>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</si>
  <si>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</si>
  <si>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</si>
  <si>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</si>
  <si>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</si>
  <si>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</si>
  <si>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</si>
  <si>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</si>
  <si>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</si>
  <si>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</si>
  <si>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</si>
  <si>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062090</t>
  </si>
  <si>
    <t>長井市</t>
  </si>
  <si>
    <t>062103</t>
  </si>
  <si>
    <t>天童市</t>
  </si>
  <si>
    <t>062111</t>
  </si>
  <si>
    <t>東根市</t>
  </si>
  <si>
    <t>062120</t>
  </si>
  <si>
    <t>尾花沢市</t>
  </si>
  <si>
    <t>062138</t>
  </si>
  <si>
    <t>南陽市</t>
  </si>
  <si>
    <t>063011</t>
  </si>
  <si>
    <t>山辺町</t>
  </si>
  <si>
    <t>063029</t>
  </si>
  <si>
    <t>中山町</t>
  </si>
  <si>
    <t>063215</t>
  </si>
  <si>
    <t>河北町</t>
  </si>
  <si>
    <t>063223</t>
  </si>
  <si>
    <t>西川町</t>
  </si>
  <si>
    <t>063231</t>
  </si>
  <si>
    <t>朝日町</t>
  </si>
  <si>
    <t>063240</t>
  </si>
  <si>
    <t>大江町</t>
  </si>
  <si>
    <t>063410</t>
  </si>
  <si>
    <t>大石田町</t>
  </si>
  <si>
    <t>063614</t>
  </si>
  <si>
    <t>金山町</t>
  </si>
  <si>
    <t>063622</t>
  </si>
  <si>
    <t>最上町</t>
  </si>
  <si>
    <t>063631</t>
  </si>
  <si>
    <t>舟形町</t>
  </si>
  <si>
    <t>063649</t>
  </si>
  <si>
    <t>真室川町</t>
  </si>
  <si>
    <t>063657</t>
  </si>
  <si>
    <t>大蔵村</t>
  </si>
  <si>
    <t>063665</t>
  </si>
  <si>
    <t>鮭川村</t>
  </si>
  <si>
    <t>063673</t>
  </si>
  <si>
    <t>戸沢村</t>
  </si>
  <si>
    <t>063819</t>
  </si>
  <si>
    <t>高畠町</t>
  </si>
  <si>
    <t>063827</t>
  </si>
  <si>
    <t>川西町</t>
  </si>
  <si>
    <t>064017</t>
  </si>
  <si>
    <t>小国町</t>
  </si>
  <si>
    <t>064025</t>
  </si>
  <si>
    <t>白鷹町</t>
  </si>
  <si>
    <t>064033</t>
  </si>
  <si>
    <t>飯豊町</t>
  </si>
  <si>
    <t>064262</t>
  </si>
  <si>
    <t>三川町</t>
  </si>
  <si>
    <t>064289</t>
  </si>
  <si>
    <t>庄内町</t>
  </si>
  <si>
    <t>064611</t>
  </si>
  <si>
    <t>遊佐町</t>
  </si>
  <si>
    <t>070009</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</si>
  <si>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</si>
  <si>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</si>
  <si>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</si>
  <si>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</si>
  <si>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</si>
  <si>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</si>
  <si>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</si>
  <si>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</si>
  <si>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</si>
  <si>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</si>
  <si>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</si>
  <si>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</si>
  <si>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</si>
  <si>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</si>
  <si>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</si>
  <si>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</si>
  <si>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</si>
  <si>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</si>
  <si>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</si>
  <si>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</si>
  <si>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</si>
  <si>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</si>
  <si>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</si>
  <si>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072133</t>
  </si>
  <si>
    <t>072141</t>
  </si>
  <si>
    <t>本宮市</t>
  </si>
  <si>
    <t>073016</t>
  </si>
  <si>
    <t>桑折町</t>
  </si>
  <si>
    <t>073032</t>
  </si>
  <si>
    <t>国見町</t>
  </si>
  <si>
    <t>073083</t>
  </si>
  <si>
    <t>川俣町</t>
  </si>
  <si>
    <t>073229</t>
  </si>
  <si>
    <t>大玉村</t>
  </si>
  <si>
    <t>073423</t>
  </si>
  <si>
    <t>鏡石町</t>
  </si>
  <si>
    <t>073440</t>
  </si>
  <si>
    <t>天栄村</t>
  </si>
  <si>
    <t>073628</t>
  </si>
  <si>
    <t>下郷町</t>
  </si>
  <si>
    <t>073644</t>
  </si>
  <si>
    <t>檜枝岐村</t>
  </si>
  <si>
    <t>073679</t>
  </si>
  <si>
    <t>只見町</t>
  </si>
  <si>
    <t>073687</t>
  </si>
  <si>
    <t>南会津町</t>
  </si>
  <si>
    <t>074021</t>
  </si>
  <si>
    <t>北塩原村</t>
  </si>
  <si>
    <t>074055</t>
  </si>
  <si>
    <t>西会津町</t>
  </si>
  <si>
    <t>074071</t>
  </si>
  <si>
    <t>磐梯町</t>
  </si>
  <si>
    <t>074080</t>
  </si>
  <si>
    <t>猪苗代町</t>
  </si>
  <si>
    <t>074217</t>
  </si>
  <si>
    <t>会津坂下町</t>
  </si>
  <si>
    <t>074225</t>
  </si>
  <si>
    <t>湯川村</t>
  </si>
  <si>
    <t>074233</t>
  </si>
  <si>
    <t>柳津町</t>
  </si>
  <si>
    <t>074446</t>
  </si>
  <si>
    <t>三島町</t>
  </si>
  <si>
    <t>074454</t>
  </si>
  <si>
    <t>074462</t>
  </si>
  <si>
    <t>昭和村</t>
  </si>
  <si>
    <t>074471</t>
  </si>
  <si>
    <t>会津美里町</t>
  </si>
  <si>
    <t>074616</t>
  </si>
  <si>
    <t>西郷村</t>
  </si>
  <si>
    <t>074641</t>
  </si>
  <si>
    <t>泉崎村</t>
  </si>
  <si>
    <t>074659</t>
  </si>
  <si>
    <t>中島村</t>
  </si>
  <si>
    <t>074667</t>
  </si>
  <si>
    <t>矢吹町</t>
  </si>
  <si>
    <t>074811</t>
  </si>
  <si>
    <t>棚倉町</t>
  </si>
  <si>
    <t>074829</t>
  </si>
  <si>
    <t>矢祭町</t>
  </si>
  <si>
    <t>074837</t>
  </si>
  <si>
    <t>塙町</t>
  </si>
  <si>
    <t>074845</t>
  </si>
  <si>
    <t>鮫川村</t>
  </si>
  <si>
    <t>075019</t>
  </si>
  <si>
    <t>石川町</t>
  </si>
  <si>
    <t>075027</t>
  </si>
  <si>
    <t>玉川村</t>
  </si>
  <si>
    <t>075035</t>
  </si>
  <si>
    <t>平田村</t>
  </si>
  <si>
    <t>075043</t>
  </si>
  <si>
    <t>浅川町</t>
  </si>
  <si>
    <t>075051</t>
  </si>
  <si>
    <t>古殿町</t>
  </si>
  <si>
    <t>075213</t>
  </si>
  <si>
    <t>三春町</t>
  </si>
  <si>
    <t>075221</t>
  </si>
  <si>
    <t>小野町</t>
  </si>
  <si>
    <t>075418</t>
  </si>
  <si>
    <t>広野町</t>
  </si>
  <si>
    <t>075426</t>
  </si>
  <si>
    <t>楢葉町</t>
  </si>
  <si>
    <t>075434</t>
  </si>
  <si>
    <t>富岡町</t>
  </si>
  <si>
    <t>075442</t>
  </si>
  <si>
    <t>川内村</t>
  </si>
  <si>
    <t>075451</t>
  </si>
  <si>
    <t>大熊町</t>
  </si>
  <si>
    <t>075469</t>
  </si>
  <si>
    <t>双葉町</t>
  </si>
  <si>
    <t>075477</t>
  </si>
  <si>
    <t>浪江町</t>
  </si>
  <si>
    <t>075485</t>
  </si>
  <si>
    <t>葛尾村</t>
  </si>
  <si>
    <t>075612</t>
  </si>
  <si>
    <t>新地町</t>
  </si>
  <si>
    <t>075647</t>
  </si>
  <si>
    <t>飯舘村</t>
  </si>
  <si>
    <t>080004</t>
  </si>
  <si>
    <t>茨城県</t>
  </si>
  <si>
    <t>082015</t>
  </si>
  <si>
    <t>水戸市</t>
  </si>
  <si>
    <t>082023</t>
  </si>
  <si>
    <t>日立市</t>
  </si>
  <si>
    <t>082031</t>
  </si>
  <si>
    <t>土浦市</t>
  </si>
  <si>
    <t>082040</t>
  </si>
  <si>
    <t>古河市</t>
  </si>
  <si>
    <t>082058</t>
  </si>
  <si>
    <t>石岡市</t>
  </si>
  <si>
    <t>082074</t>
  </si>
  <si>
    <t>結城市</t>
  </si>
  <si>
    <t>082082</t>
  </si>
  <si>
    <t>龍ケ崎市</t>
  </si>
  <si>
    <t>082104</t>
  </si>
  <si>
    <t>下妻市</t>
  </si>
  <si>
    <t>082112</t>
  </si>
  <si>
    <t>常総市</t>
  </si>
  <si>
    <t>082121</t>
  </si>
  <si>
    <t>常陸太田市</t>
  </si>
  <si>
    <t>082147</t>
  </si>
  <si>
    <t>高萩市</t>
  </si>
  <si>
    <t>082155</t>
  </si>
  <si>
    <t>北茨城市</t>
  </si>
  <si>
    <t>082163</t>
  </si>
  <si>
    <t>笠間市</t>
  </si>
  <si>
    <t>082171</t>
  </si>
  <si>
    <t>取手市</t>
  </si>
  <si>
    <t>082198</t>
  </si>
  <si>
    <t>牛久市</t>
  </si>
  <si>
    <t>082201</t>
  </si>
  <si>
    <t>つくば市</t>
  </si>
  <si>
    <t>082210</t>
  </si>
  <si>
    <t>ひたちなか市</t>
  </si>
  <si>
    <t>082228</t>
  </si>
  <si>
    <t>鹿嶋市</t>
  </si>
  <si>
    <t>082236</t>
  </si>
  <si>
    <t>潮来市</t>
  </si>
  <si>
    <t>082244</t>
  </si>
  <si>
    <t>守谷市</t>
  </si>
  <si>
    <t>082252</t>
  </si>
  <si>
    <t>常陸大宮市</t>
  </si>
  <si>
    <t>082261</t>
  </si>
  <si>
    <t>那珂市</t>
  </si>
  <si>
    <t>082279</t>
  </si>
  <si>
    <t>筑西市</t>
  </si>
  <si>
    <t>082287</t>
  </si>
  <si>
    <t>坂東市</t>
  </si>
  <si>
    <t>082295</t>
  </si>
  <si>
    <t>稲敷市</t>
  </si>
  <si>
    <t>082309</t>
  </si>
  <si>
    <t>かすみがうら市</t>
  </si>
  <si>
    <t>082317</t>
  </si>
  <si>
    <t>桜川市</t>
  </si>
  <si>
    <t>082325</t>
  </si>
  <si>
    <t>神栖市</t>
  </si>
  <si>
    <t>082333</t>
  </si>
  <si>
    <t>行方市</t>
  </si>
  <si>
    <t>082341</t>
  </si>
  <si>
    <t>鉾田市</t>
  </si>
  <si>
    <t>082350</t>
  </si>
  <si>
    <t>つくばみらい市</t>
  </si>
  <si>
    <t>082368</t>
  </si>
  <si>
    <t>小美玉市</t>
  </si>
  <si>
    <t>083020</t>
  </si>
  <si>
    <t>茨城町</t>
  </si>
  <si>
    <t>083097</t>
  </si>
  <si>
    <t>大洗町</t>
  </si>
  <si>
    <t>083101</t>
  </si>
  <si>
    <t>城里町</t>
  </si>
  <si>
    <t>083411</t>
  </si>
  <si>
    <t>東海村</t>
  </si>
  <si>
    <t>083640</t>
  </si>
  <si>
    <t>大子町</t>
  </si>
  <si>
    <t>084425</t>
  </si>
  <si>
    <t>美浦村</t>
  </si>
  <si>
    <t>084433</t>
  </si>
  <si>
    <t>阿見町</t>
  </si>
  <si>
    <t>084476</t>
  </si>
  <si>
    <t>河内町</t>
  </si>
  <si>
    <t>085219</t>
  </si>
  <si>
    <t>八千代町</t>
  </si>
  <si>
    <t>085421</t>
  </si>
  <si>
    <t>五霞町</t>
  </si>
  <si>
    <t>085464</t>
  </si>
  <si>
    <t>境町</t>
  </si>
  <si>
    <t>085642</t>
  </si>
  <si>
    <t>利根町</t>
  </si>
  <si>
    <t>090000</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</si>
  <si>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</si>
  <si>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</si>
  <si>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</si>
  <si>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</si>
  <si>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</si>
  <si>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</si>
  <si>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</si>
  <si>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</si>
  <si>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</si>
  <si>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</si>
  <si>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</si>
  <si>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</si>
  <si>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</si>
  <si>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</si>
  <si>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</si>
  <si>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</si>
  <si>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</si>
  <si>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</si>
  <si>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</si>
  <si>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</si>
  <si>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</si>
  <si>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</si>
  <si>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</si>
  <si>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</si>
  <si>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</si>
  <si>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</si>
  <si>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</si>
  <si>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</si>
  <si>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</si>
  <si>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093017</t>
  </si>
  <si>
    <t>上三川町</t>
  </si>
  <si>
    <t>093424</t>
  </si>
  <si>
    <t>益子町</t>
  </si>
  <si>
    <t>093432</t>
  </si>
  <si>
    <t>茂木町</t>
  </si>
  <si>
    <t>093441</t>
  </si>
  <si>
    <t>市貝町</t>
  </si>
  <si>
    <t>093459</t>
  </si>
  <si>
    <t>芳賀町</t>
  </si>
  <si>
    <t>093611</t>
  </si>
  <si>
    <t>壬生町</t>
  </si>
  <si>
    <t>093645</t>
  </si>
  <si>
    <t>野木町</t>
  </si>
  <si>
    <t>093840</t>
  </si>
  <si>
    <t>塩谷町</t>
  </si>
  <si>
    <t>093866</t>
  </si>
  <si>
    <t>高根沢町</t>
  </si>
  <si>
    <t>094072</t>
  </si>
  <si>
    <t>那須町</t>
  </si>
  <si>
    <t>094111</t>
  </si>
  <si>
    <t>那珂川町</t>
  </si>
  <si>
    <t>100005</t>
  </si>
  <si>
    <t>群馬県</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</si>
  <si>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</si>
  <si>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</si>
  <si>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</si>
  <si>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</si>
  <si>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</si>
  <si>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</si>
  <si>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</si>
  <si>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</si>
  <si>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</si>
  <si>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</si>
  <si>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</si>
  <si>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</si>
  <si>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</si>
  <si>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</si>
  <si>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</si>
  <si>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</si>
  <si>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</si>
  <si>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藤岡市</t>
  </si>
  <si>
    <t>102105</t>
  </si>
  <si>
    <t>富岡市</t>
  </si>
  <si>
    <t>102113</t>
  </si>
  <si>
    <t>安中市</t>
  </si>
  <si>
    <t>102121</t>
  </si>
  <si>
    <t>みどり市</t>
  </si>
  <si>
    <t>103446</t>
  </si>
  <si>
    <t>榛東村</t>
  </si>
  <si>
    <t>103454</t>
  </si>
  <si>
    <t>吉岡町</t>
  </si>
  <si>
    <t>103667</t>
  </si>
  <si>
    <t>上野村</t>
  </si>
  <si>
    <t>103675</t>
  </si>
  <si>
    <t>神流町</t>
  </si>
  <si>
    <t>103829</t>
  </si>
  <si>
    <t>下仁田町</t>
  </si>
  <si>
    <t>103837</t>
  </si>
  <si>
    <t>南牧村</t>
  </si>
  <si>
    <t>103845</t>
  </si>
  <si>
    <t>甘楽町</t>
  </si>
  <si>
    <t>104213</t>
  </si>
  <si>
    <t>中之条町</t>
  </si>
  <si>
    <t>104248</t>
  </si>
  <si>
    <t>長野原町</t>
  </si>
  <si>
    <t>104256</t>
  </si>
  <si>
    <t>嬬恋村</t>
  </si>
  <si>
    <t>104264</t>
  </si>
  <si>
    <t>草津町</t>
  </si>
  <si>
    <t>104281</t>
  </si>
  <si>
    <t>高山村</t>
  </si>
  <si>
    <t>104299</t>
  </si>
  <si>
    <t>東吾妻町</t>
  </si>
  <si>
    <t>104434</t>
  </si>
  <si>
    <t>片品村</t>
  </si>
  <si>
    <t>104442</t>
  </si>
  <si>
    <t>川場村</t>
  </si>
  <si>
    <t>104485</t>
  </si>
  <si>
    <t>104493</t>
  </si>
  <si>
    <t>みなかみ町</t>
  </si>
  <si>
    <t>104647</t>
  </si>
  <si>
    <t>玉村町</t>
  </si>
  <si>
    <t>105210</t>
  </si>
  <si>
    <t>板倉町</t>
  </si>
  <si>
    <t>105228</t>
  </si>
  <si>
    <t>明和町</t>
  </si>
  <si>
    <t>105236</t>
  </si>
  <si>
    <t>千代田町</t>
  </si>
  <si>
    <t>105244</t>
  </si>
  <si>
    <t>大泉町</t>
  </si>
  <si>
    <t>105252</t>
  </si>
  <si>
    <t>邑楽町</t>
  </si>
  <si>
    <t>110001</t>
  </si>
  <si>
    <t>埼玉県</t>
  </si>
  <si>
    <t>111007</t>
  </si>
  <si>
    <t>さいたま市</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</si>
  <si>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</si>
  <si>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</si>
  <si>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</si>
  <si>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</si>
  <si>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</si>
  <si>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</si>
  <si>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</si>
  <si>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</si>
  <si>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</si>
  <si>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</si>
  <si>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</si>
  <si>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</si>
  <si>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</si>
  <si>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</si>
  <si>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</si>
  <si>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</si>
  <si>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</si>
  <si>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</si>
  <si>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</si>
  <si>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</si>
  <si>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</si>
  <si>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</si>
  <si>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</si>
  <si>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</si>
  <si>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</si>
  <si>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</si>
  <si>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</si>
  <si>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</si>
  <si>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</si>
  <si>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</si>
  <si>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</si>
  <si>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</si>
  <si>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</si>
  <si>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</si>
  <si>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</si>
  <si>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</si>
  <si>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</si>
  <si>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</si>
  <si>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</si>
  <si>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</si>
  <si>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</si>
  <si>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</si>
  <si>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</si>
  <si>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</si>
  <si>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</si>
  <si>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</si>
  <si>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</si>
  <si>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</si>
  <si>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</si>
  <si>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</si>
  <si>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</si>
  <si>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</si>
  <si>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</si>
  <si>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</si>
  <si>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</si>
  <si>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</si>
  <si>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</si>
  <si>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</si>
  <si>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</si>
  <si>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</si>
  <si>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</si>
  <si>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</si>
  <si>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</si>
  <si>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</si>
  <si>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</si>
  <si>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</si>
  <si>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</si>
  <si>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</si>
  <si>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</si>
  <si>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</si>
  <si>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</si>
  <si>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</si>
  <si>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</si>
  <si>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</si>
  <si>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</si>
  <si>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</si>
  <si>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112461</t>
  </si>
  <si>
    <t>113018</t>
  </si>
  <si>
    <t>伊奈町</t>
  </si>
  <si>
    <t>113247</t>
  </si>
  <si>
    <t>三芳町</t>
  </si>
  <si>
    <t>113263</t>
  </si>
  <si>
    <t>毛呂山町</t>
  </si>
  <si>
    <t>113271</t>
  </si>
  <si>
    <t>越生町</t>
  </si>
  <si>
    <t>113417</t>
  </si>
  <si>
    <t>滑川町</t>
  </si>
  <si>
    <t>113425</t>
  </si>
  <si>
    <t>嵐山町</t>
  </si>
  <si>
    <t>113433</t>
  </si>
  <si>
    <t>小川町</t>
  </si>
  <si>
    <t>113468</t>
  </si>
  <si>
    <t>川島町</t>
  </si>
  <si>
    <t>113476</t>
  </si>
  <si>
    <t>吉見町</t>
  </si>
  <si>
    <t>113484</t>
  </si>
  <si>
    <t>鳩山町</t>
  </si>
  <si>
    <t>113492</t>
  </si>
  <si>
    <t>ときがわ町</t>
  </si>
  <si>
    <t>113611</t>
  </si>
  <si>
    <t>横瀬町</t>
  </si>
  <si>
    <t>113620</t>
  </si>
  <si>
    <t>皆野町</t>
  </si>
  <si>
    <t>113638</t>
  </si>
  <si>
    <t>長瀞町</t>
  </si>
  <si>
    <t>113654</t>
  </si>
  <si>
    <t>小鹿野町</t>
  </si>
  <si>
    <t>113697</t>
  </si>
  <si>
    <t>東秩父村</t>
  </si>
  <si>
    <t>113816</t>
  </si>
  <si>
    <t>113832</t>
  </si>
  <si>
    <t>神川町</t>
  </si>
  <si>
    <t>113859</t>
  </si>
  <si>
    <t>上里町</t>
  </si>
  <si>
    <t>114081</t>
  </si>
  <si>
    <t>寄居町</t>
  </si>
  <si>
    <t>114421</t>
  </si>
  <si>
    <t>宮代町</t>
  </si>
  <si>
    <t>114642</t>
  </si>
  <si>
    <t>杉戸町</t>
  </si>
  <si>
    <t>114651</t>
  </si>
  <si>
    <t>松伏町</t>
  </si>
  <si>
    <t>120006</t>
  </si>
  <si>
    <t>千葉県</t>
  </si>
  <si>
    <t>121002</t>
  </si>
  <si>
    <t>千葉市</t>
  </si>
  <si>
    <t>122025</t>
  </si>
  <si>
    <t>銚子市</t>
  </si>
  <si>
    <t>122033</t>
  </si>
  <si>
    <t>市川市</t>
  </si>
  <si>
    <t>122041</t>
  </si>
  <si>
    <t>船橋市</t>
  </si>
  <si>
    <t>122050</t>
  </si>
  <si>
    <t>館山市</t>
  </si>
  <si>
    <t>122068</t>
  </si>
  <si>
    <t>木更津市</t>
  </si>
  <si>
    <t>122076</t>
  </si>
  <si>
    <t>松戸市</t>
  </si>
  <si>
    <t>122084</t>
  </si>
  <si>
    <t>野田市</t>
  </si>
  <si>
    <t>122106</t>
  </si>
  <si>
    <t>茂原市</t>
  </si>
  <si>
    <t>122114</t>
  </si>
  <si>
    <t>成田市</t>
  </si>
  <si>
    <t>122122</t>
  </si>
  <si>
    <t>佐倉市</t>
  </si>
  <si>
    <t>122131</t>
  </si>
  <si>
    <t>東金市</t>
  </si>
  <si>
    <t>122157</t>
  </si>
  <si>
    <t>旭市</t>
  </si>
  <si>
    <t>122165</t>
  </si>
  <si>
    <t>習志野市</t>
  </si>
  <si>
    <t>122173</t>
  </si>
  <si>
    <t>柏市</t>
  </si>
  <si>
    <t>122181</t>
  </si>
  <si>
    <t>勝浦市</t>
  </si>
  <si>
    <t>122190</t>
  </si>
  <si>
    <t>市原市</t>
  </si>
  <si>
    <t>122203</t>
  </si>
  <si>
    <t>流山市</t>
  </si>
  <si>
    <t>122211</t>
  </si>
  <si>
    <t>八千代市</t>
  </si>
  <si>
    <t>122220</t>
  </si>
  <si>
    <t>我孫子市</t>
  </si>
  <si>
    <t>122238</t>
  </si>
  <si>
    <t>鴨川市</t>
  </si>
  <si>
    <t>122246</t>
  </si>
  <si>
    <t>鎌ケ谷市</t>
  </si>
  <si>
    <t>122254</t>
  </si>
  <si>
    <t>君津市</t>
  </si>
  <si>
    <t>122262</t>
  </si>
  <si>
    <t>富津市</t>
  </si>
  <si>
    <t>122271</t>
  </si>
  <si>
    <t>浦安市</t>
  </si>
  <si>
    <t>122289</t>
  </si>
  <si>
    <t>四街道市</t>
  </si>
  <si>
    <t>122297</t>
  </si>
  <si>
    <t>袖ケ浦市</t>
  </si>
  <si>
    <t>122301</t>
  </si>
  <si>
    <t>八街市</t>
  </si>
  <si>
    <t>122319</t>
  </si>
  <si>
    <t>印西市</t>
  </si>
  <si>
    <t>122327</t>
  </si>
  <si>
    <t>白井市</t>
  </si>
  <si>
    <t>122335</t>
  </si>
  <si>
    <t>富里市</t>
  </si>
  <si>
    <t>122343</t>
  </si>
  <si>
    <t>南房総市</t>
  </si>
  <si>
    <t>122351</t>
  </si>
  <si>
    <t>匝瑳市</t>
  </si>
  <si>
    <t>122360</t>
  </si>
  <si>
    <t>香取市</t>
  </si>
  <si>
    <t>122378</t>
  </si>
  <si>
    <t>山武市</t>
  </si>
  <si>
    <t>122386</t>
  </si>
  <si>
    <t>いすみ市</t>
  </si>
  <si>
    <t>122394</t>
  </si>
  <si>
    <t>123226</t>
  </si>
  <si>
    <t>酒々井町</t>
  </si>
  <si>
    <t>123293</t>
  </si>
  <si>
    <t>栄町</t>
  </si>
  <si>
    <t>123421</t>
  </si>
  <si>
    <t>神崎町</t>
  </si>
  <si>
    <t>123471</t>
  </si>
  <si>
    <t>多古町</t>
  </si>
  <si>
    <t>123498</t>
  </si>
  <si>
    <t>東庄町</t>
  </si>
  <si>
    <t>124036</t>
  </si>
  <si>
    <t>九十九里町</t>
  </si>
  <si>
    <t>124095</t>
  </si>
  <si>
    <t>芝山町</t>
  </si>
  <si>
    <t>124109</t>
  </si>
  <si>
    <t>横芝光町</t>
  </si>
  <si>
    <t>124214</t>
  </si>
  <si>
    <t>一宮町</t>
  </si>
  <si>
    <t>124222</t>
  </si>
  <si>
    <t>睦沢町</t>
  </si>
  <si>
    <t>124231</t>
  </si>
  <si>
    <t>長生村</t>
  </si>
  <si>
    <t>124249</t>
  </si>
  <si>
    <t>白子町</t>
  </si>
  <si>
    <t>124265</t>
  </si>
  <si>
    <t>長柄町</t>
  </si>
  <si>
    <t>124273</t>
  </si>
  <si>
    <t>長南町</t>
  </si>
  <si>
    <t>124419</t>
  </si>
  <si>
    <t>大多喜町</t>
  </si>
  <si>
    <t>124435</t>
  </si>
  <si>
    <t>御宿町</t>
  </si>
  <si>
    <t>124630</t>
  </si>
  <si>
    <t>鋸南町</t>
  </si>
  <si>
    <t>130001</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</si>
  <si>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</si>
  <si>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</si>
  <si>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</si>
  <si>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</si>
  <si>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</si>
  <si>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</si>
  <si>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</si>
  <si>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</si>
  <si>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</si>
  <si>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</si>
  <si>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</si>
  <si>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</si>
  <si>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</si>
  <si>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</si>
  <si>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</si>
  <si>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</si>
  <si>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</si>
  <si>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</si>
  <si>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</si>
  <si>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</si>
  <si>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</si>
  <si>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</si>
  <si>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</si>
  <si>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</si>
  <si>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</si>
  <si>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</si>
  <si>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</si>
  <si>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</si>
  <si>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</si>
  <si>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</si>
  <si>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</si>
  <si>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</si>
  <si>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</si>
  <si>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</si>
  <si>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</si>
  <si>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</si>
  <si>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</si>
  <si>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</si>
  <si>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</si>
  <si>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</si>
  <si>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</si>
  <si>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</si>
  <si>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</si>
  <si>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</si>
  <si>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</si>
  <si>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</si>
  <si>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</si>
  <si>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</si>
  <si>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</si>
  <si>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132021</t>
  </si>
  <si>
    <t>立川市</t>
  </si>
  <si>
    <t>132039</t>
  </si>
  <si>
    <t>武蔵野市</t>
  </si>
  <si>
    <t>132047</t>
  </si>
  <si>
    <t>三鷹市</t>
  </si>
  <si>
    <t>132055</t>
  </si>
  <si>
    <t>青梅市</t>
  </si>
  <si>
    <t>132063</t>
  </si>
  <si>
    <t>府中市</t>
  </si>
  <si>
    <t>132071</t>
  </si>
  <si>
    <t>昭島市</t>
  </si>
  <si>
    <t>132080</t>
  </si>
  <si>
    <t>調布市</t>
  </si>
  <si>
    <t>132098</t>
  </si>
  <si>
    <t>町田市</t>
  </si>
  <si>
    <t>132101</t>
  </si>
  <si>
    <t>小金井市</t>
  </si>
  <si>
    <t>132110</t>
  </si>
  <si>
    <t>小平市</t>
  </si>
  <si>
    <t>132128</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</si>
  <si>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</si>
  <si>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</si>
  <si>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</si>
  <si>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</si>
  <si>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</si>
  <si>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</si>
  <si>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</si>
  <si>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</si>
  <si>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</si>
  <si>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</si>
  <si>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</si>
  <si>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</si>
  <si>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</si>
  <si>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</si>
  <si>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</si>
  <si>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</si>
  <si>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</si>
  <si>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</si>
  <si>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</si>
  <si>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</si>
  <si>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</si>
  <si>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</si>
  <si>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</si>
  <si>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</si>
  <si>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</si>
  <si>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</si>
  <si>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</si>
  <si>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</si>
  <si>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</si>
  <si>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133035</t>
  </si>
  <si>
    <t>瑞穂町</t>
  </si>
  <si>
    <t>133051</t>
  </si>
  <si>
    <t>日の出町</t>
  </si>
  <si>
    <t>133078</t>
  </si>
  <si>
    <t>檜原村</t>
  </si>
  <si>
    <t>133086</t>
  </si>
  <si>
    <t>奥多摩町</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</si>
  <si>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</si>
  <si>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</si>
  <si>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</si>
  <si>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</si>
  <si>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</si>
  <si>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</si>
  <si>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</si>
  <si>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</si>
  <si>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</si>
  <si>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</si>
  <si>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</si>
  <si>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</si>
  <si>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</si>
  <si>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</si>
  <si>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</si>
  <si>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</si>
  <si>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</si>
  <si>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</si>
  <si>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140007</t>
  </si>
  <si>
    <t>神奈川県</t>
  </si>
  <si>
    <t>141003</t>
  </si>
  <si>
    <t>横浜市</t>
  </si>
  <si>
    <t>141305</t>
  </si>
  <si>
    <t>川崎市</t>
  </si>
  <si>
    <t>141500</t>
  </si>
  <si>
    <t>相模原市</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</si>
  <si>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</si>
  <si>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</si>
  <si>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</si>
  <si>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</si>
  <si>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</si>
  <si>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</si>
  <si>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</si>
  <si>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</si>
  <si>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</si>
  <si>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</si>
  <si>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</si>
  <si>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</si>
  <si>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</si>
  <si>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</si>
  <si>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</si>
  <si>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</si>
  <si>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</si>
  <si>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</si>
  <si>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</si>
  <si>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</si>
  <si>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</si>
  <si>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</si>
  <si>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142140</t>
  </si>
  <si>
    <t>伊勢原市</t>
  </si>
  <si>
    <t>142158</t>
  </si>
  <si>
    <t>海老名市</t>
  </si>
  <si>
    <t>142166</t>
  </si>
  <si>
    <t>座間市</t>
  </si>
  <si>
    <t>142174</t>
  </si>
  <si>
    <t>南足柄市</t>
  </si>
  <si>
    <t>142182</t>
  </si>
  <si>
    <t>綾瀬市</t>
  </si>
  <si>
    <t>143014</t>
  </si>
  <si>
    <t>葉山町</t>
  </si>
  <si>
    <t>143219</t>
  </si>
  <si>
    <t>寒川町</t>
  </si>
  <si>
    <t>143413</t>
  </si>
  <si>
    <t>大磯町</t>
  </si>
  <si>
    <t>143421</t>
  </si>
  <si>
    <t>二宮町</t>
  </si>
  <si>
    <t>143618</t>
  </si>
  <si>
    <t>中井町</t>
  </si>
  <si>
    <t>143626</t>
  </si>
  <si>
    <t>大井町</t>
  </si>
  <si>
    <t>143634</t>
  </si>
  <si>
    <t>松田町</t>
  </si>
  <si>
    <t>143642</t>
  </si>
  <si>
    <t>山北町</t>
  </si>
  <si>
    <t>143669</t>
  </si>
  <si>
    <t>開成町</t>
  </si>
  <si>
    <t>143821</t>
  </si>
  <si>
    <t>箱根町</t>
  </si>
  <si>
    <t>143839</t>
  </si>
  <si>
    <t>真鶴町</t>
  </si>
  <si>
    <t>143847</t>
  </si>
  <si>
    <t>湯河原町</t>
  </si>
  <si>
    <t>144011</t>
  </si>
  <si>
    <t>愛川町</t>
  </si>
  <si>
    <t>144029</t>
  </si>
  <si>
    <t>清川村</t>
  </si>
  <si>
    <t>150002</t>
  </si>
  <si>
    <t>新潟県</t>
  </si>
  <si>
    <t>151009</t>
  </si>
  <si>
    <t>新潟市</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</si>
  <si>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</si>
  <si>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</si>
  <si>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</si>
  <si>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</si>
  <si>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</si>
  <si>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</si>
  <si>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</si>
  <si>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</si>
  <si>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</si>
  <si>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</si>
  <si>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</si>
  <si>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</si>
  <si>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</si>
  <si>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</si>
  <si>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</si>
  <si>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</si>
  <si>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</si>
  <si>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</si>
  <si>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</si>
  <si>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</si>
  <si>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152161</t>
  </si>
  <si>
    <t>糸魚川市</t>
  </si>
  <si>
    <t>152170</t>
  </si>
  <si>
    <t>妙高市</t>
  </si>
  <si>
    <t>152188</t>
  </si>
  <si>
    <t>五泉市</t>
  </si>
  <si>
    <t>152226</t>
  </si>
  <si>
    <t>上越市</t>
  </si>
  <si>
    <t>152234</t>
  </si>
  <si>
    <t>阿賀野市</t>
  </si>
  <si>
    <t>152242</t>
  </si>
  <si>
    <t>佐渡市</t>
  </si>
  <si>
    <t>152251</t>
  </si>
  <si>
    <t>魚沼市</t>
  </si>
  <si>
    <t>152269</t>
  </si>
  <si>
    <t>南魚沼市</t>
  </si>
  <si>
    <t>152277</t>
  </si>
  <si>
    <t>胎内市</t>
  </si>
  <si>
    <t>153079</t>
  </si>
  <si>
    <t>聖籠町</t>
  </si>
  <si>
    <t>153427</t>
  </si>
  <si>
    <t>弥彦村</t>
  </si>
  <si>
    <t>153613</t>
  </si>
  <si>
    <t>田上町</t>
  </si>
  <si>
    <t>153851</t>
  </si>
  <si>
    <t>阿賀町</t>
  </si>
  <si>
    <t>154059</t>
  </si>
  <si>
    <t>出雲崎町</t>
  </si>
  <si>
    <t>154610</t>
  </si>
  <si>
    <t>湯沢町</t>
  </si>
  <si>
    <t>154822</t>
  </si>
  <si>
    <t>津南町</t>
  </si>
  <si>
    <t>155047</t>
  </si>
  <si>
    <t>刈羽村</t>
  </si>
  <si>
    <t>155811</t>
  </si>
  <si>
    <t>関川村</t>
  </si>
  <si>
    <t>155861</t>
  </si>
  <si>
    <t>粟島浦村</t>
  </si>
  <si>
    <t>160008</t>
  </si>
  <si>
    <t>富山県</t>
  </si>
  <si>
    <t>162019</t>
  </si>
  <si>
    <t>富山市</t>
  </si>
  <si>
    <t>162027</t>
  </si>
  <si>
    <t>高岡市</t>
  </si>
  <si>
    <t>162043</t>
  </si>
  <si>
    <t>魚津市</t>
  </si>
  <si>
    <t>162051</t>
  </si>
  <si>
    <t>氷見市</t>
  </si>
  <si>
    <t>162060</t>
  </si>
  <si>
    <t>滑川市</t>
  </si>
  <si>
    <t>162078</t>
  </si>
  <si>
    <t>黒部市</t>
  </si>
  <si>
    <t>162086</t>
  </si>
  <si>
    <t>砺波市</t>
  </si>
  <si>
    <t>162094</t>
  </si>
  <si>
    <t>小矢部市</t>
  </si>
  <si>
    <t>162108</t>
  </si>
  <si>
    <t>南砺市</t>
  </si>
  <si>
    <t>162116</t>
  </si>
  <si>
    <t>射水市</t>
  </si>
  <si>
    <t>163210</t>
  </si>
  <si>
    <t>舟橋村</t>
  </si>
  <si>
    <t>163228</t>
  </si>
  <si>
    <t>上市町</t>
  </si>
  <si>
    <t>163236</t>
  </si>
  <si>
    <t>立山町</t>
  </si>
  <si>
    <t>163422</t>
  </si>
  <si>
    <t>入善町</t>
  </si>
  <si>
    <t>163431</t>
  </si>
  <si>
    <t>170003</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</si>
  <si>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</si>
  <si>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</si>
  <si>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</si>
  <si>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</si>
  <si>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</si>
  <si>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</si>
  <si>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</si>
  <si>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</si>
  <si>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</si>
  <si>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</si>
  <si>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</si>
  <si>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</si>
  <si>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</si>
  <si>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</si>
  <si>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</si>
  <si>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</si>
  <si>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</si>
  <si>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</si>
  <si>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</si>
  <si>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172111</t>
  </si>
  <si>
    <t>能美市</t>
  </si>
  <si>
    <t>172120</t>
  </si>
  <si>
    <t>野々市市</t>
  </si>
  <si>
    <t>173240</t>
  </si>
  <si>
    <t>川北町</t>
  </si>
  <si>
    <t>173614</t>
  </si>
  <si>
    <t>津幡町</t>
  </si>
  <si>
    <t>173657</t>
  </si>
  <si>
    <t>内灘町</t>
  </si>
  <si>
    <t>173843</t>
  </si>
  <si>
    <t>志賀町</t>
  </si>
  <si>
    <t>173860</t>
  </si>
  <si>
    <t>宝達志水町</t>
  </si>
  <si>
    <t>174076</t>
  </si>
  <si>
    <t>中能登町</t>
  </si>
  <si>
    <t>174611</t>
  </si>
  <si>
    <t>穴水町</t>
  </si>
  <si>
    <t>174637</t>
  </si>
  <si>
    <t>能登町</t>
  </si>
  <si>
    <t>180009</t>
  </si>
  <si>
    <t>182010</t>
  </si>
  <si>
    <t>福井市</t>
  </si>
  <si>
    <t>182028</t>
  </si>
  <si>
    <t>敦賀市</t>
  </si>
  <si>
    <t>182044</t>
  </si>
  <si>
    <t>小浜市</t>
  </si>
  <si>
    <t>182052</t>
  </si>
  <si>
    <t>大野市</t>
  </si>
  <si>
    <t>182061</t>
  </si>
  <si>
    <t>勝山市</t>
  </si>
  <si>
    <t>182079</t>
  </si>
  <si>
    <t>鯖江市</t>
  </si>
  <si>
    <t>182087</t>
  </si>
  <si>
    <t>あわら市</t>
  </si>
  <si>
    <t>182095</t>
  </si>
  <si>
    <t>越前市</t>
  </si>
  <si>
    <t>182109</t>
  </si>
  <si>
    <t>坂井市</t>
  </si>
  <si>
    <t>183229</t>
  </si>
  <si>
    <t>永平寺町</t>
  </si>
  <si>
    <t>183822</t>
  </si>
  <si>
    <t>184047</t>
  </si>
  <si>
    <t>南越前町</t>
  </si>
  <si>
    <t>184233</t>
  </si>
  <si>
    <t>越前町</t>
  </si>
  <si>
    <t>184420</t>
  </si>
  <si>
    <t>美浜町</t>
  </si>
  <si>
    <t>184811</t>
  </si>
  <si>
    <t>高浜町</t>
  </si>
  <si>
    <t>184837</t>
  </si>
  <si>
    <t>おおい町</t>
  </si>
  <si>
    <t>185019</t>
  </si>
  <si>
    <t>若狭町</t>
  </si>
  <si>
    <t>190004</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</si>
  <si>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</si>
  <si>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</si>
  <si>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</si>
  <si>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</si>
  <si>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</si>
  <si>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</si>
  <si>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</si>
  <si>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</si>
  <si>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</si>
  <si>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</si>
  <si>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</si>
  <si>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</si>
  <si>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</si>
  <si>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</si>
  <si>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</si>
  <si>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</si>
  <si>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</si>
  <si>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192104</t>
  </si>
  <si>
    <t>甲斐市</t>
  </si>
  <si>
    <t>192112</t>
  </si>
  <si>
    <t>笛吹市</t>
  </si>
  <si>
    <t>192121</t>
  </si>
  <si>
    <t>上野原市</t>
  </si>
  <si>
    <t>192139</t>
  </si>
  <si>
    <t>甲州市</t>
  </si>
  <si>
    <t>192147</t>
  </si>
  <si>
    <t>中央市</t>
  </si>
  <si>
    <t>193461</t>
  </si>
  <si>
    <t>市川三郷町</t>
  </si>
  <si>
    <t>193640</t>
  </si>
  <si>
    <t>早川町</t>
  </si>
  <si>
    <t>193658</t>
  </si>
  <si>
    <t>身延町</t>
  </si>
  <si>
    <t>193666</t>
  </si>
  <si>
    <t>193682</t>
  </si>
  <si>
    <t>富士川町</t>
  </si>
  <si>
    <t>193844</t>
  </si>
  <si>
    <t>昭和町</t>
  </si>
  <si>
    <t>194221</t>
  </si>
  <si>
    <t>道志村</t>
  </si>
  <si>
    <t>194239</t>
  </si>
  <si>
    <t>西桂町</t>
  </si>
  <si>
    <t>194247</t>
  </si>
  <si>
    <t>忍野村</t>
  </si>
  <si>
    <t>194255</t>
  </si>
  <si>
    <t>山中湖村</t>
  </si>
  <si>
    <t>194298</t>
  </si>
  <si>
    <t>鳴沢村</t>
  </si>
  <si>
    <t>194301</t>
  </si>
  <si>
    <t>富士河口湖町</t>
  </si>
  <si>
    <t>194425</t>
  </si>
  <si>
    <t>小菅村</t>
  </si>
  <si>
    <t>194433</t>
  </si>
  <si>
    <t>丹波山村</t>
  </si>
  <si>
    <t>200000</t>
  </si>
  <si>
    <t>長野県</t>
  </si>
  <si>
    <t>202011</t>
  </si>
  <si>
    <t>長野市</t>
  </si>
  <si>
    <t>202029</t>
  </si>
  <si>
    <t>松本市</t>
  </si>
  <si>
    <t>202037</t>
  </si>
  <si>
    <t>上田市</t>
  </si>
  <si>
    <t>202045</t>
  </si>
  <si>
    <t>岡谷市</t>
  </si>
  <si>
    <t>202053</t>
  </si>
  <si>
    <t>飯田市</t>
  </si>
  <si>
    <t>202061</t>
  </si>
  <si>
    <t>諏訪市</t>
  </si>
  <si>
    <t>202070</t>
  </si>
  <si>
    <t>須坂市</t>
  </si>
  <si>
    <t>202088</t>
  </si>
  <si>
    <t>小諸市</t>
  </si>
  <si>
    <t>202096</t>
  </si>
  <si>
    <t>伊那市</t>
  </si>
  <si>
    <t>202100</t>
  </si>
  <si>
    <t>駒ヶ根市</t>
  </si>
  <si>
    <t>202118</t>
  </si>
  <si>
    <t>中野市</t>
  </si>
  <si>
    <t>202126</t>
  </si>
  <si>
    <t>大町市</t>
  </si>
  <si>
    <t>202134</t>
  </si>
  <si>
    <t>飯山市</t>
  </si>
  <si>
    <t>202142</t>
  </si>
  <si>
    <t>茅野市</t>
  </si>
  <si>
    <t>202151</t>
  </si>
  <si>
    <t>塩尻市</t>
  </si>
  <si>
    <t>202177</t>
  </si>
  <si>
    <t>佐久市</t>
  </si>
  <si>
    <t>202185</t>
  </si>
  <si>
    <t>千曲市</t>
  </si>
  <si>
    <t>202193</t>
  </si>
  <si>
    <t>東御市</t>
  </si>
  <si>
    <t>202207</t>
  </si>
  <si>
    <t>安曇野市</t>
  </si>
  <si>
    <t>203033</t>
  </si>
  <si>
    <t>小海町</t>
  </si>
  <si>
    <t>203041</t>
  </si>
  <si>
    <t>川上村</t>
  </si>
  <si>
    <t>203050</t>
  </si>
  <si>
    <t>203068</t>
  </si>
  <si>
    <t>南相木村</t>
  </si>
  <si>
    <t>203076</t>
  </si>
  <si>
    <t>北相木村</t>
  </si>
  <si>
    <t>203092</t>
  </si>
  <si>
    <t>佐久穂町</t>
  </si>
  <si>
    <t>203211</t>
  </si>
  <si>
    <t>軽井沢町</t>
  </si>
  <si>
    <t>203238</t>
  </si>
  <si>
    <t>御代田町</t>
  </si>
  <si>
    <t>203246</t>
  </si>
  <si>
    <t>立科町</t>
  </si>
  <si>
    <t>203491</t>
  </si>
  <si>
    <t>青木村</t>
  </si>
  <si>
    <t>203505</t>
  </si>
  <si>
    <t>長和町</t>
  </si>
  <si>
    <t>203611</t>
  </si>
  <si>
    <t>下諏訪町</t>
  </si>
  <si>
    <t>203629</t>
  </si>
  <si>
    <t>富士見町</t>
  </si>
  <si>
    <t>203637</t>
  </si>
  <si>
    <t>原村</t>
  </si>
  <si>
    <t>203823</t>
  </si>
  <si>
    <t>辰野町</t>
  </si>
  <si>
    <t>203831</t>
  </si>
  <si>
    <t>箕輪町</t>
  </si>
  <si>
    <t>203840</t>
  </si>
  <si>
    <t>飯島町</t>
  </si>
  <si>
    <t>203858</t>
  </si>
  <si>
    <t>南箕輪村</t>
  </si>
  <si>
    <t>203866</t>
  </si>
  <si>
    <t>中川村</t>
  </si>
  <si>
    <t>203882</t>
  </si>
  <si>
    <t>宮田村</t>
  </si>
  <si>
    <t>204021</t>
  </si>
  <si>
    <t>松川町</t>
  </si>
  <si>
    <t>204030</t>
  </si>
  <si>
    <t>高森町</t>
  </si>
  <si>
    <t>204048</t>
  </si>
  <si>
    <t>阿南町</t>
  </si>
  <si>
    <t>204072</t>
  </si>
  <si>
    <t>阿智村</t>
  </si>
  <si>
    <t>204099</t>
  </si>
  <si>
    <t>平谷村</t>
  </si>
  <si>
    <t>204102</t>
  </si>
  <si>
    <t>根羽村</t>
  </si>
  <si>
    <t>204111</t>
  </si>
  <si>
    <t>下條村</t>
  </si>
  <si>
    <t>204129</t>
  </si>
  <si>
    <t>売木村</t>
  </si>
  <si>
    <t>204137</t>
  </si>
  <si>
    <t>天龍村</t>
  </si>
  <si>
    <t>204145</t>
  </si>
  <si>
    <t>泰阜村</t>
  </si>
  <si>
    <t>204153</t>
  </si>
  <si>
    <t>喬木村</t>
  </si>
  <si>
    <t>204161</t>
  </si>
  <si>
    <t>豊丘村</t>
  </si>
  <si>
    <t>204170</t>
  </si>
  <si>
    <t>大鹿村</t>
  </si>
  <si>
    <t>204226</t>
  </si>
  <si>
    <t>上松町</t>
  </si>
  <si>
    <t>204234</t>
  </si>
  <si>
    <t>南木曽町</t>
  </si>
  <si>
    <t>204251</t>
  </si>
  <si>
    <t>木祖村</t>
  </si>
  <si>
    <t>204293</t>
  </si>
  <si>
    <t>王滝村</t>
  </si>
  <si>
    <t>204307</t>
  </si>
  <si>
    <t>大桑村</t>
  </si>
  <si>
    <t>204323</t>
  </si>
  <si>
    <t>木曽町</t>
  </si>
  <si>
    <t>204463</t>
  </si>
  <si>
    <t>麻績村</t>
  </si>
  <si>
    <t>204480</t>
  </si>
  <si>
    <t>生坂村</t>
  </si>
  <si>
    <t>204501</t>
  </si>
  <si>
    <t>山形村</t>
  </si>
  <si>
    <t>204510</t>
  </si>
  <si>
    <t>朝日村</t>
  </si>
  <si>
    <t>204528</t>
  </si>
  <si>
    <t>筑北村</t>
  </si>
  <si>
    <t>204811</t>
  </si>
  <si>
    <t>204820</t>
  </si>
  <si>
    <t>松川村</t>
  </si>
  <si>
    <t>204854</t>
  </si>
  <si>
    <t>白馬村</t>
  </si>
  <si>
    <t>204862</t>
  </si>
  <si>
    <t>小谷村</t>
  </si>
  <si>
    <t>205214</t>
  </si>
  <si>
    <t>坂城町</t>
  </si>
  <si>
    <t>205419</t>
  </si>
  <si>
    <t>小布施町</t>
  </si>
  <si>
    <t>205435</t>
  </si>
  <si>
    <t>205613</t>
  </si>
  <si>
    <t>山ノ内町</t>
  </si>
  <si>
    <t>205621</t>
  </si>
  <si>
    <t>木島平村</t>
  </si>
  <si>
    <t>205630</t>
  </si>
  <si>
    <t>野沢温泉村</t>
  </si>
  <si>
    <t>205834</t>
  </si>
  <si>
    <t>信濃町</t>
  </si>
  <si>
    <t>205885</t>
  </si>
  <si>
    <t>小川村</t>
  </si>
  <si>
    <t>205907</t>
  </si>
  <si>
    <t>飯綱町</t>
  </si>
  <si>
    <t>206024</t>
  </si>
  <si>
    <t>栄村</t>
  </si>
  <si>
    <t>210005</t>
  </si>
  <si>
    <t>岐阜県</t>
  </si>
  <si>
    <t>212016</t>
  </si>
  <si>
    <t>岐阜市</t>
  </si>
  <si>
    <t>212024</t>
  </si>
  <si>
    <t>大垣市</t>
  </si>
  <si>
    <t>212032</t>
  </si>
  <si>
    <t>高山市</t>
  </si>
  <si>
    <t>212041</t>
  </si>
  <si>
    <t>多治見市</t>
  </si>
  <si>
    <t>212059</t>
  </si>
  <si>
    <t>関市</t>
  </si>
  <si>
    <t>212067</t>
  </si>
  <si>
    <t>中津川市</t>
  </si>
  <si>
    <t>212075</t>
  </si>
  <si>
    <t>美濃市</t>
  </si>
  <si>
    <t>212083</t>
  </si>
  <si>
    <t>瑞浪市</t>
  </si>
  <si>
    <t>212091</t>
  </si>
  <si>
    <t>羽島市</t>
  </si>
  <si>
    <t>212105</t>
  </si>
  <si>
    <t>恵那市</t>
  </si>
  <si>
    <t>212113</t>
  </si>
  <si>
    <t>美濃加茂市</t>
  </si>
  <si>
    <t>212121</t>
  </si>
  <si>
    <t>土岐市</t>
  </si>
  <si>
    <t>212130</t>
  </si>
  <si>
    <t>各務原市</t>
  </si>
  <si>
    <t>212148</t>
  </si>
  <si>
    <t>可児市</t>
  </si>
  <si>
    <t>212156</t>
  </si>
  <si>
    <t>山県市</t>
  </si>
  <si>
    <t>212164</t>
  </si>
  <si>
    <t>瑞穂市</t>
  </si>
  <si>
    <t>212172</t>
  </si>
  <si>
    <t>飛騨市</t>
  </si>
  <si>
    <t>212181</t>
  </si>
  <si>
    <t>本巣市</t>
  </si>
  <si>
    <t>212199</t>
  </si>
  <si>
    <t>郡上市</t>
  </si>
  <si>
    <t>212202</t>
  </si>
  <si>
    <t>下呂市</t>
  </si>
  <si>
    <t>212211</t>
  </si>
  <si>
    <t>海津市</t>
  </si>
  <si>
    <t>213021</t>
  </si>
  <si>
    <t>岐南町</t>
  </si>
  <si>
    <t>213039</t>
  </si>
  <si>
    <t>笠松町</t>
  </si>
  <si>
    <t>213411</t>
  </si>
  <si>
    <t>養老町</t>
  </si>
  <si>
    <t>213616</t>
  </si>
  <si>
    <t>垂井町</t>
  </si>
  <si>
    <t>213624</t>
  </si>
  <si>
    <t>関ケ原町</t>
  </si>
  <si>
    <t>213811</t>
  </si>
  <si>
    <t>神戸町</t>
  </si>
  <si>
    <t>213829</t>
  </si>
  <si>
    <t>輪之内町</t>
  </si>
  <si>
    <t>213837</t>
  </si>
  <si>
    <t>安八町</t>
  </si>
  <si>
    <t>214019</t>
  </si>
  <si>
    <t>揖斐川町</t>
  </si>
  <si>
    <t>214035</t>
  </si>
  <si>
    <t>大野町</t>
  </si>
  <si>
    <t>214043</t>
  </si>
  <si>
    <t>214213</t>
  </si>
  <si>
    <t>北方町</t>
  </si>
  <si>
    <t>215015</t>
  </si>
  <si>
    <t>坂祝町</t>
  </si>
  <si>
    <t>215023</t>
  </si>
  <si>
    <t>富加町</t>
  </si>
  <si>
    <t>215031</t>
  </si>
  <si>
    <t>川辺町</t>
  </si>
  <si>
    <t>215040</t>
  </si>
  <si>
    <t>七宗町</t>
  </si>
  <si>
    <t>215058</t>
  </si>
  <si>
    <t>八百津町</t>
  </si>
  <si>
    <t>215066</t>
  </si>
  <si>
    <t>白川町</t>
  </si>
  <si>
    <t>215074</t>
  </si>
  <si>
    <t>東白川村</t>
  </si>
  <si>
    <t>215210</t>
  </si>
  <si>
    <t>御嵩町</t>
  </si>
  <si>
    <t>216046</t>
  </si>
  <si>
    <t>白川村</t>
  </si>
  <si>
    <t>220001</t>
  </si>
  <si>
    <t>静岡県</t>
  </si>
  <si>
    <t>221007</t>
  </si>
  <si>
    <t>静岡市</t>
  </si>
  <si>
    <t>221309</t>
  </si>
  <si>
    <t>浜松市</t>
  </si>
  <si>
    <t>222038</t>
  </si>
  <si>
    <t>沼津市</t>
  </si>
  <si>
    <t>222054</t>
  </si>
  <si>
    <t>熱海市</t>
  </si>
  <si>
    <t>222062</t>
  </si>
  <si>
    <t>三島市</t>
  </si>
  <si>
    <t>222071</t>
  </si>
  <si>
    <t>富士宮市</t>
  </si>
  <si>
    <t>222089</t>
  </si>
  <si>
    <t>伊東市</t>
  </si>
  <si>
    <t>222097</t>
  </si>
  <si>
    <t>島田市</t>
  </si>
  <si>
    <t>222101</t>
  </si>
  <si>
    <t>富士市</t>
  </si>
  <si>
    <t>222119</t>
  </si>
  <si>
    <t>磐田市</t>
  </si>
  <si>
    <t>222127</t>
  </si>
  <si>
    <t>焼津市</t>
  </si>
  <si>
    <t>222135</t>
  </si>
  <si>
    <t>掛川市</t>
  </si>
  <si>
    <t>222143</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</si>
  <si>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</si>
  <si>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</si>
  <si>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</si>
  <si>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</si>
  <si>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</si>
  <si>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</si>
  <si>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</si>
  <si>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</si>
  <si>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</si>
  <si>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</si>
  <si>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</si>
  <si>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</si>
  <si>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</si>
  <si>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</si>
  <si>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</si>
  <si>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</si>
  <si>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</si>
  <si>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</si>
  <si>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</si>
  <si>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222267</t>
  </si>
  <si>
    <t>牧之原市</t>
  </si>
  <si>
    <t>223018</t>
  </si>
  <si>
    <t>東伊豆町</t>
  </si>
  <si>
    <t>223026</t>
  </si>
  <si>
    <t>河津町</t>
  </si>
  <si>
    <t>223042</t>
  </si>
  <si>
    <t>南伊豆町</t>
  </si>
  <si>
    <t>223051</t>
  </si>
  <si>
    <t>松崎町</t>
  </si>
  <si>
    <t>223069</t>
  </si>
  <si>
    <t>西伊豆町</t>
  </si>
  <si>
    <t>223255</t>
  </si>
  <si>
    <t>函南町</t>
  </si>
  <si>
    <t>223417</t>
  </si>
  <si>
    <t>223425</t>
  </si>
  <si>
    <t>長泉町</t>
  </si>
  <si>
    <t>223441</t>
  </si>
  <si>
    <t>小山町</t>
  </si>
  <si>
    <t>224243</t>
  </si>
  <si>
    <t>吉田町</t>
  </si>
  <si>
    <t>224294</t>
  </si>
  <si>
    <t>川根本町</t>
  </si>
  <si>
    <t>224618</t>
  </si>
  <si>
    <t>230006</t>
  </si>
  <si>
    <t>愛知県</t>
  </si>
  <si>
    <t>231002</t>
  </si>
  <si>
    <t>名古屋市</t>
  </si>
  <si>
    <t>232017</t>
  </si>
  <si>
    <t>豊橋市</t>
  </si>
  <si>
    <t>232025</t>
  </si>
  <si>
    <t>岡崎市</t>
  </si>
  <si>
    <t>232033</t>
  </si>
  <si>
    <t>一宮市</t>
  </si>
  <si>
    <t>232041</t>
  </si>
  <si>
    <t>瀬戸市</t>
  </si>
  <si>
    <t>232050</t>
  </si>
  <si>
    <t>半田市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</si>
  <si>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</si>
  <si>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</si>
  <si>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</si>
  <si>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</si>
  <si>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</si>
  <si>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</si>
  <si>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</si>
  <si>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</si>
  <si>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</si>
  <si>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</si>
  <si>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</si>
  <si>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</si>
  <si>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</si>
  <si>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</si>
  <si>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</si>
  <si>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</si>
  <si>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</si>
  <si>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</si>
  <si>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</si>
  <si>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</si>
  <si>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</si>
  <si>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</si>
  <si>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</si>
  <si>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</si>
  <si>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</si>
  <si>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</si>
  <si>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</si>
  <si>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</si>
  <si>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</si>
  <si>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</si>
  <si>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</si>
  <si>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</si>
  <si>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</si>
  <si>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</si>
  <si>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</si>
  <si>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</si>
  <si>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</si>
  <si>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</si>
  <si>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</si>
  <si>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</si>
  <si>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232271</t>
  </si>
  <si>
    <t>高浜市</t>
  </si>
  <si>
    <t>232289</t>
  </si>
  <si>
    <t>岩倉市</t>
  </si>
  <si>
    <t>232297</t>
  </si>
  <si>
    <t>豊明市</t>
  </si>
  <si>
    <t>232301</t>
  </si>
  <si>
    <t>日進市</t>
  </si>
  <si>
    <t>232319</t>
  </si>
  <si>
    <t>田原市</t>
  </si>
  <si>
    <t>232327</t>
  </si>
  <si>
    <t>愛西市</t>
  </si>
  <si>
    <t>232335</t>
  </si>
  <si>
    <t>清須市</t>
  </si>
  <si>
    <t>232343</t>
  </si>
  <si>
    <t>北名古屋市</t>
  </si>
  <si>
    <t>232351</t>
  </si>
  <si>
    <t>弥富市</t>
  </si>
  <si>
    <t>232360</t>
  </si>
  <si>
    <t>みよし市</t>
  </si>
  <si>
    <t>232378</t>
  </si>
  <si>
    <t>あま市</t>
  </si>
  <si>
    <t>232386</t>
  </si>
  <si>
    <t>長久手市</t>
  </si>
  <si>
    <t>233021</t>
  </si>
  <si>
    <t>東郷町</t>
  </si>
  <si>
    <t>233421</t>
  </si>
  <si>
    <t>豊山町</t>
  </si>
  <si>
    <t>233617</t>
  </si>
  <si>
    <t>大口町</t>
  </si>
  <si>
    <t>233625</t>
  </si>
  <si>
    <t>扶桑町</t>
  </si>
  <si>
    <t>234249</t>
  </si>
  <si>
    <t>大治町</t>
  </si>
  <si>
    <t>234257</t>
  </si>
  <si>
    <t>蟹江町</t>
  </si>
  <si>
    <t>234273</t>
  </si>
  <si>
    <t>飛島村</t>
  </si>
  <si>
    <t>234419</t>
  </si>
  <si>
    <t>阿久比町</t>
  </si>
  <si>
    <t>234427</t>
  </si>
  <si>
    <t>東浦町</t>
  </si>
  <si>
    <t>234451</t>
  </si>
  <si>
    <t>南知多町</t>
  </si>
  <si>
    <t>234460</t>
  </si>
  <si>
    <t>234478</t>
  </si>
  <si>
    <t>武豊町</t>
  </si>
  <si>
    <t>235016</t>
  </si>
  <si>
    <t>幸田町</t>
  </si>
  <si>
    <t>235610</t>
  </si>
  <si>
    <t>設楽町</t>
  </si>
  <si>
    <t>235628</t>
  </si>
  <si>
    <t>東栄町</t>
  </si>
  <si>
    <t>235636</t>
  </si>
  <si>
    <t>豊根村</t>
  </si>
  <si>
    <t>240001</t>
  </si>
  <si>
    <t>三重県</t>
  </si>
  <si>
    <t>242012</t>
  </si>
  <si>
    <t>津市</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</si>
  <si>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</si>
  <si>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</si>
  <si>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</si>
  <si>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</si>
  <si>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</si>
  <si>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</si>
  <si>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</si>
  <si>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</si>
  <si>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</si>
  <si>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</si>
  <si>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</si>
  <si>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</si>
  <si>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</si>
  <si>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</si>
  <si>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</si>
  <si>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</si>
  <si>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</si>
  <si>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</si>
  <si>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</si>
  <si>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</si>
  <si>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</si>
  <si>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</si>
  <si>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</si>
  <si>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</si>
  <si>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</si>
  <si>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</si>
  <si>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243035</t>
  </si>
  <si>
    <t>木曽岬町</t>
  </si>
  <si>
    <t>243248</t>
  </si>
  <si>
    <t>東員町</t>
  </si>
  <si>
    <t>243418</t>
  </si>
  <si>
    <t>菰野町</t>
  </si>
  <si>
    <t>243434</t>
  </si>
  <si>
    <t>243442</t>
  </si>
  <si>
    <t>川越町</t>
  </si>
  <si>
    <t>244414</t>
  </si>
  <si>
    <t>多気町</t>
  </si>
  <si>
    <t>244422</t>
  </si>
  <si>
    <t>244431</t>
  </si>
  <si>
    <t>大台町</t>
  </si>
  <si>
    <t>244619</t>
  </si>
  <si>
    <t>玉城町</t>
  </si>
  <si>
    <t>244708</t>
  </si>
  <si>
    <t>度会町</t>
  </si>
  <si>
    <t>244716</t>
  </si>
  <si>
    <t>大紀町</t>
  </si>
  <si>
    <t>244724</t>
  </si>
  <si>
    <t>南伊勢町</t>
  </si>
  <si>
    <t>245437</t>
  </si>
  <si>
    <t>紀北町</t>
  </si>
  <si>
    <t>245615</t>
  </si>
  <si>
    <t>御浜町</t>
  </si>
  <si>
    <t>245623</t>
  </si>
  <si>
    <t>紀宝町</t>
  </si>
  <si>
    <t>250007</t>
  </si>
  <si>
    <t>滋賀県</t>
  </si>
  <si>
    <t>252018</t>
  </si>
  <si>
    <t>大津市</t>
  </si>
  <si>
    <t>252026</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</si>
  <si>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</si>
  <si>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</si>
  <si>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</si>
  <si>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</si>
  <si>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</si>
  <si>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</si>
  <si>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</si>
  <si>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</si>
  <si>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</si>
  <si>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</si>
  <si>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</si>
  <si>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</si>
  <si>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</si>
  <si>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</si>
  <si>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</si>
  <si>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</si>
  <si>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</si>
  <si>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</si>
  <si>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</si>
  <si>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</si>
  <si>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</si>
  <si>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</si>
  <si>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253839</t>
  </si>
  <si>
    <t>日野町</t>
  </si>
  <si>
    <t>253847</t>
  </si>
  <si>
    <t>竜王町</t>
  </si>
  <si>
    <t>254258</t>
  </si>
  <si>
    <t>愛荘町</t>
  </si>
  <si>
    <t>254410</t>
  </si>
  <si>
    <t>豊郷町</t>
  </si>
  <si>
    <t>254428</t>
  </si>
  <si>
    <t>甲良町</t>
  </si>
  <si>
    <t>254436</t>
  </si>
  <si>
    <t>多賀町</t>
  </si>
  <si>
    <t>260002</t>
  </si>
  <si>
    <t>京都府</t>
  </si>
  <si>
    <t>261009</t>
  </si>
  <si>
    <t>京都市</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</si>
  <si>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</si>
  <si>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</si>
  <si>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</si>
  <si>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</si>
  <si>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</si>
  <si>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</si>
  <si>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</si>
  <si>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</si>
  <si>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</si>
  <si>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</si>
  <si>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</si>
  <si>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</si>
  <si>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</si>
  <si>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</si>
  <si>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</si>
  <si>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</si>
  <si>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</si>
  <si>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</si>
  <si>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</si>
  <si>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</si>
  <si>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</si>
  <si>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</si>
  <si>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</si>
  <si>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</si>
  <si>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</si>
  <si>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</si>
  <si>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</si>
  <si>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</si>
  <si>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263036</t>
  </si>
  <si>
    <t>大山崎町</t>
  </si>
  <si>
    <t>263222</t>
  </si>
  <si>
    <t>久御山町</t>
  </si>
  <si>
    <t>263435</t>
  </si>
  <si>
    <t>井手町</t>
  </si>
  <si>
    <t>263443</t>
  </si>
  <si>
    <t>宇治田原町</t>
  </si>
  <si>
    <t>263648</t>
  </si>
  <si>
    <t>笠置町</t>
  </si>
  <si>
    <t>263656</t>
  </si>
  <si>
    <t>和束町</t>
  </si>
  <si>
    <t>263664</t>
  </si>
  <si>
    <t>精華町</t>
  </si>
  <si>
    <t>263672</t>
  </si>
  <si>
    <t>南山城村</t>
  </si>
  <si>
    <t>264075</t>
  </si>
  <si>
    <t>京丹波町</t>
  </si>
  <si>
    <t>264636</t>
  </si>
  <si>
    <t>伊根町</t>
  </si>
  <si>
    <t>264652</t>
  </si>
  <si>
    <t>与謝野町</t>
  </si>
  <si>
    <t>270008</t>
  </si>
  <si>
    <t>大阪府</t>
  </si>
  <si>
    <t>271004</t>
  </si>
  <si>
    <t>大阪市</t>
  </si>
  <si>
    <t>271403</t>
  </si>
  <si>
    <t>堺市</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</si>
  <si>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</si>
  <si>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</si>
  <si>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</si>
  <si>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</si>
  <si>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</si>
  <si>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</si>
  <si>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</si>
  <si>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</si>
  <si>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</si>
  <si>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</si>
  <si>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</si>
  <si>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</si>
  <si>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</si>
  <si>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</si>
  <si>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</si>
  <si>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</si>
  <si>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</si>
  <si>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</si>
  <si>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</si>
  <si>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</si>
  <si>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</si>
  <si>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</si>
  <si>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272132</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</si>
  <si>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</si>
  <si>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</si>
  <si>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</si>
  <si>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</si>
  <si>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</si>
  <si>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</si>
  <si>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</si>
  <si>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</si>
  <si>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</si>
  <si>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</si>
  <si>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</si>
  <si>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</si>
  <si>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</si>
  <si>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</si>
  <si>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</si>
  <si>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</si>
  <si>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</si>
  <si>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</si>
  <si>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</si>
  <si>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</si>
  <si>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</si>
  <si>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</si>
  <si>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</si>
  <si>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</si>
  <si>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</si>
  <si>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</si>
  <si>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</si>
  <si>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</si>
  <si>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</si>
  <si>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</si>
  <si>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</si>
  <si>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</si>
  <si>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</si>
  <si>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</si>
  <si>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</si>
  <si>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</si>
  <si>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</si>
  <si>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</si>
  <si>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</si>
  <si>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273015</t>
  </si>
  <si>
    <t>島本町</t>
  </si>
  <si>
    <t>273210</t>
  </si>
  <si>
    <t>豊能町</t>
  </si>
  <si>
    <t>273228</t>
  </si>
  <si>
    <t>能勢町</t>
  </si>
  <si>
    <t>273414</t>
  </si>
  <si>
    <t>忠岡町</t>
  </si>
  <si>
    <t>273619</t>
  </si>
  <si>
    <t>熊取町</t>
  </si>
  <si>
    <t>273627</t>
  </si>
  <si>
    <t>田尻町</t>
  </si>
  <si>
    <t>273660</t>
  </si>
  <si>
    <t>岬町</t>
  </si>
  <si>
    <t>273813</t>
  </si>
  <si>
    <t>太子町</t>
  </si>
  <si>
    <t>273821</t>
  </si>
  <si>
    <t>河南町</t>
  </si>
  <si>
    <t>273830</t>
  </si>
  <si>
    <t>千早赤阪村</t>
  </si>
  <si>
    <t>280003</t>
  </si>
  <si>
    <t>兵庫県</t>
  </si>
  <si>
    <t>281000</t>
  </si>
  <si>
    <t>神戸市</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</si>
  <si>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</si>
  <si>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</si>
  <si>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</si>
  <si>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</si>
  <si>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</si>
  <si>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</si>
  <si>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</si>
  <si>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</si>
  <si>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</si>
  <si>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</si>
  <si>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</si>
  <si>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</si>
  <si>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</si>
  <si>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</si>
  <si>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</si>
  <si>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</si>
  <si>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</si>
  <si>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</si>
  <si>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</si>
  <si>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</si>
  <si>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</si>
  <si>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</si>
  <si>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</si>
  <si>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</si>
  <si>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</si>
  <si>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</si>
  <si>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</si>
  <si>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</si>
  <si>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</si>
  <si>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</si>
  <si>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</si>
  <si>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</si>
  <si>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</si>
  <si>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</si>
  <si>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</si>
  <si>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</si>
  <si>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</si>
  <si>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</si>
  <si>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</si>
  <si>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</si>
  <si>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</si>
  <si>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</si>
  <si>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</si>
  <si>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</si>
  <si>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</si>
  <si>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</si>
  <si>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</si>
  <si>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</si>
  <si>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</si>
  <si>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</si>
  <si>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</si>
  <si>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</si>
  <si>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</si>
  <si>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</si>
  <si>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</si>
  <si>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283011</t>
  </si>
  <si>
    <t>猪名川町</t>
  </si>
  <si>
    <t>283657</t>
  </si>
  <si>
    <t>多可町</t>
  </si>
  <si>
    <t>283819</t>
  </si>
  <si>
    <t>稲美町</t>
  </si>
  <si>
    <t>283827</t>
  </si>
  <si>
    <t>播磨町</t>
  </si>
  <si>
    <t>284424</t>
  </si>
  <si>
    <t>市川町</t>
  </si>
  <si>
    <t>284432</t>
  </si>
  <si>
    <t>福崎町</t>
  </si>
  <si>
    <t>284467</t>
  </si>
  <si>
    <t>神河町</t>
  </si>
  <si>
    <t>284645</t>
  </si>
  <si>
    <t>284815</t>
  </si>
  <si>
    <t>上郡町</t>
  </si>
  <si>
    <t>285013</t>
  </si>
  <si>
    <t>佐用町</t>
  </si>
  <si>
    <t>285854</t>
  </si>
  <si>
    <t>香美町</t>
  </si>
  <si>
    <t>285862</t>
  </si>
  <si>
    <t>新温泉町</t>
  </si>
  <si>
    <t>290009</t>
  </si>
  <si>
    <t>奈良県</t>
  </si>
  <si>
    <t>292010</t>
  </si>
  <si>
    <t>奈良市</t>
  </si>
  <si>
    <t>292028</t>
  </si>
  <si>
    <t>大和高田市</t>
  </si>
  <si>
    <t>292036</t>
  </si>
  <si>
    <t>大和郡山市</t>
  </si>
  <si>
    <t>292044</t>
  </si>
  <si>
    <t>天理市</t>
  </si>
  <si>
    <t>292052</t>
  </si>
  <si>
    <t>橿原市</t>
  </si>
  <si>
    <t>292061</t>
  </si>
  <si>
    <t>桜井市</t>
  </si>
  <si>
    <t>292079</t>
  </si>
  <si>
    <t>五條市</t>
  </si>
  <si>
    <t>292087</t>
  </si>
  <si>
    <t>御所市</t>
  </si>
  <si>
    <t>292095</t>
  </si>
  <si>
    <t>生駒市</t>
  </si>
  <si>
    <t>292109</t>
  </si>
  <si>
    <t>香芝市</t>
  </si>
  <si>
    <t>292117</t>
  </si>
  <si>
    <t>葛城市</t>
  </si>
  <si>
    <t>292125</t>
  </si>
  <si>
    <t>宇陀市</t>
  </si>
  <si>
    <t>293229</t>
  </si>
  <si>
    <t>山添村</t>
  </si>
  <si>
    <t>293423</t>
  </si>
  <si>
    <t>平群町</t>
  </si>
  <si>
    <t>293431</t>
  </si>
  <si>
    <t>三郷町</t>
  </si>
  <si>
    <t>293440</t>
  </si>
  <si>
    <t>斑鳩町</t>
  </si>
  <si>
    <t>293458</t>
  </si>
  <si>
    <t>安堵町</t>
  </si>
  <si>
    <t>293610</t>
  </si>
  <si>
    <t>293628</t>
  </si>
  <si>
    <t>三宅町</t>
  </si>
  <si>
    <t>293636</t>
  </si>
  <si>
    <t>田原本町</t>
  </si>
  <si>
    <t>293857</t>
  </si>
  <si>
    <t>曽爾村</t>
  </si>
  <si>
    <t>293865</t>
  </si>
  <si>
    <t>御杖村</t>
  </si>
  <si>
    <t>294012</t>
  </si>
  <si>
    <t>高取町</t>
  </si>
  <si>
    <t>294021</t>
  </si>
  <si>
    <t>明日香村</t>
  </si>
  <si>
    <t>294241</t>
  </si>
  <si>
    <t>上牧町</t>
  </si>
  <si>
    <t>294250</t>
  </si>
  <si>
    <t>王寺町</t>
  </si>
  <si>
    <t>294268</t>
  </si>
  <si>
    <t>広陵町</t>
  </si>
  <si>
    <t>294276</t>
  </si>
  <si>
    <t>河合町</t>
  </si>
  <si>
    <t>294411</t>
  </si>
  <si>
    <t>吉野町</t>
  </si>
  <si>
    <t>294420</t>
  </si>
  <si>
    <t>大淀町</t>
  </si>
  <si>
    <t>294438</t>
  </si>
  <si>
    <t>下市町</t>
  </si>
  <si>
    <t>294446</t>
  </si>
  <si>
    <t>黒滝村</t>
  </si>
  <si>
    <t>294462</t>
  </si>
  <si>
    <t>天川村</t>
  </si>
  <si>
    <t>294471</t>
  </si>
  <si>
    <t>野迫川村</t>
  </si>
  <si>
    <t>294497</t>
  </si>
  <si>
    <t>十津川村</t>
  </si>
  <si>
    <t>294501</t>
  </si>
  <si>
    <t>下北山村</t>
  </si>
  <si>
    <t>294519</t>
  </si>
  <si>
    <t>上北山村</t>
  </si>
  <si>
    <t>294527</t>
  </si>
  <si>
    <t>294535</t>
  </si>
  <si>
    <t>東吉野村</t>
  </si>
  <si>
    <t>300004</t>
  </si>
  <si>
    <t>和歌山県</t>
  </si>
  <si>
    <t>302015</t>
  </si>
  <si>
    <t>和歌山市</t>
  </si>
  <si>
    <t>302023</t>
  </si>
  <si>
    <t>海南市</t>
  </si>
  <si>
    <t>302031</t>
  </si>
  <si>
    <t>橋本市</t>
  </si>
  <si>
    <t>302040</t>
  </si>
  <si>
    <t>有田市</t>
  </si>
  <si>
    <t>302058</t>
  </si>
  <si>
    <t>御坊市</t>
  </si>
  <si>
    <t>302066</t>
  </si>
  <si>
    <t>田辺市</t>
  </si>
  <si>
    <t>302074</t>
  </si>
  <si>
    <t>新宮市</t>
  </si>
  <si>
    <t>302082</t>
  </si>
  <si>
    <t>紀の川市</t>
  </si>
  <si>
    <t>302091</t>
  </si>
  <si>
    <t>岩出市</t>
  </si>
  <si>
    <t>303046</t>
  </si>
  <si>
    <t>紀美野町</t>
  </si>
  <si>
    <t>303411</t>
  </si>
  <si>
    <t>かつらぎ町</t>
  </si>
  <si>
    <t>303437</t>
  </si>
  <si>
    <t>九度山町</t>
  </si>
  <si>
    <t>303445</t>
  </si>
  <si>
    <t>高野町</t>
  </si>
  <si>
    <t>303615</t>
  </si>
  <si>
    <t>湯浅町</t>
  </si>
  <si>
    <t>303623</t>
  </si>
  <si>
    <t>広川町</t>
  </si>
  <si>
    <t>303666</t>
  </si>
  <si>
    <t>有田川町</t>
  </si>
  <si>
    <t>303810</t>
  </si>
  <si>
    <t>303828</t>
  </si>
  <si>
    <t>303836</t>
  </si>
  <si>
    <t>由良町</t>
  </si>
  <si>
    <t>303909</t>
  </si>
  <si>
    <t>印南町</t>
  </si>
  <si>
    <t>303917</t>
  </si>
  <si>
    <t>みなべ町</t>
  </si>
  <si>
    <t>303925</t>
  </si>
  <si>
    <t>日高川町</t>
  </si>
  <si>
    <t>304018</t>
  </si>
  <si>
    <t>白浜町</t>
  </si>
  <si>
    <t>304042</t>
  </si>
  <si>
    <t>上富田町</t>
  </si>
  <si>
    <t>304069</t>
  </si>
  <si>
    <t>すさみ町</t>
  </si>
  <si>
    <t>304212</t>
  </si>
  <si>
    <t>那智勝浦町</t>
  </si>
  <si>
    <t>304221</t>
  </si>
  <si>
    <t>太地町</t>
  </si>
  <si>
    <t>304247</t>
  </si>
  <si>
    <t>古座川町</t>
  </si>
  <si>
    <t>304271</t>
  </si>
  <si>
    <t>北山村</t>
  </si>
  <si>
    <t>304280</t>
  </si>
  <si>
    <t>串本町</t>
  </si>
  <si>
    <t>310000</t>
  </si>
  <si>
    <t>鳥取県</t>
  </si>
  <si>
    <t>312011</t>
  </si>
  <si>
    <t>鳥取市</t>
  </si>
  <si>
    <t>312029</t>
  </si>
  <si>
    <t>米子市</t>
  </si>
  <si>
    <t>312037</t>
  </si>
  <si>
    <t>倉吉市</t>
  </si>
  <si>
    <t>312045</t>
  </si>
  <si>
    <t>境港市</t>
  </si>
  <si>
    <t>313025</t>
  </si>
  <si>
    <t>岩美町</t>
  </si>
  <si>
    <t>313254</t>
  </si>
  <si>
    <t>若桜町</t>
  </si>
  <si>
    <t>313289</t>
  </si>
  <si>
    <t>智頭町</t>
  </si>
  <si>
    <t>313297</t>
  </si>
  <si>
    <t>八頭町</t>
  </si>
  <si>
    <t>313645</t>
  </si>
  <si>
    <t>三朝町</t>
  </si>
  <si>
    <t>313700</t>
  </si>
  <si>
    <t>湯梨浜町</t>
  </si>
  <si>
    <t>313718</t>
  </si>
  <si>
    <t>琴浦町</t>
  </si>
  <si>
    <t>313726</t>
  </si>
  <si>
    <t>北栄町</t>
  </si>
  <si>
    <t>313840</t>
  </si>
  <si>
    <t>日吉津村</t>
  </si>
  <si>
    <t>313866</t>
  </si>
  <si>
    <t>大山町</t>
  </si>
  <si>
    <t>313891</t>
  </si>
  <si>
    <t>313904</t>
  </si>
  <si>
    <t>伯耆町</t>
  </si>
  <si>
    <t>314013</t>
  </si>
  <si>
    <t>日南町</t>
  </si>
  <si>
    <t>314021</t>
  </si>
  <si>
    <t>314030</t>
  </si>
  <si>
    <t>江府町</t>
  </si>
  <si>
    <t>320005</t>
  </si>
  <si>
    <t>島根県</t>
  </si>
  <si>
    <t>322016</t>
  </si>
  <si>
    <t>322024</t>
  </si>
  <si>
    <t>浜田市</t>
  </si>
  <si>
    <t>322032</t>
  </si>
  <si>
    <t>出雲市</t>
  </si>
  <si>
    <t>322041</t>
  </si>
  <si>
    <t>益田市</t>
  </si>
  <si>
    <t>322059</t>
  </si>
  <si>
    <t>大田市</t>
  </si>
  <si>
    <t>322067</t>
  </si>
  <si>
    <t>安来市</t>
  </si>
  <si>
    <t>322075</t>
  </si>
  <si>
    <t>江津市</t>
  </si>
  <si>
    <t>322091</t>
  </si>
  <si>
    <t>雲南市</t>
  </si>
  <si>
    <t>323438</t>
  </si>
  <si>
    <t>奥出雲町</t>
  </si>
  <si>
    <t>323861</t>
  </si>
  <si>
    <t>飯南町</t>
  </si>
  <si>
    <t>324418</t>
  </si>
  <si>
    <t>川本町</t>
  </si>
  <si>
    <t>324493</t>
  </si>
  <si>
    <t>邑南町</t>
  </si>
  <si>
    <t>325015</t>
  </si>
  <si>
    <t>津和野町</t>
  </si>
  <si>
    <t>325058</t>
  </si>
  <si>
    <t>吉賀町</t>
  </si>
  <si>
    <t>325252</t>
  </si>
  <si>
    <t>海士町</t>
  </si>
  <si>
    <t>325261</t>
  </si>
  <si>
    <t>西ノ島町</t>
  </si>
  <si>
    <t>325279</t>
  </si>
  <si>
    <t>知夫村</t>
  </si>
  <si>
    <t>325287</t>
  </si>
  <si>
    <t>隠岐の島町</t>
  </si>
  <si>
    <t>330001</t>
  </si>
  <si>
    <t>岡山県</t>
  </si>
  <si>
    <t>331007</t>
  </si>
  <si>
    <t>岡山市</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</si>
  <si>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</si>
  <si>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</si>
  <si>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</si>
  <si>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</si>
  <si>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</si>
  <si>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</si>
  <si>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</si>
  <si>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</si>
  <si>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</si>
  <si>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</si>
  <si>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</si>
  <si>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</si>
  <si>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</si>
  <si>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</si>
  <si>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</si>
  <si>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</si>
  <si>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</si>
  <si>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</si>
  <si>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</si>
  <si>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</si>
  <si>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</si>
  <si>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</si>
  <si>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</si>
  <si>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</si>
  <si>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</si>
  <si>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</si>
  <si>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</si>
  <si>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</si>
  <si>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333468</t>
  </si>
  <si>
    <t>和気町</t>
  </si>
  <si>
    <t>334235</t>
  </si>
  <si>
    <t>早島町</t>
  </si>
  <si>
    <t>334456</t>
  </si>
  <si>
    <t>里庄町</t>
  </si>
  <si>
    <t>334618</t>
  </si>
  <si>
    <t>矢掛町</t>
  </si>
  <si>
    <t>335860</t>
  </si>
  <si>
    <t>新庄村</t>
  </si>
  <si>
    <t>336068</t>
  </si>
  <si>
    <t>鏡野町</t>
  </si>
  <si>
    <t>336220</t>
  </si>
  <si>
    <t>勝央町</t>
  </si>
  <si>
    <t>336238</t>
  </si>
  <si>
    <t>奈義町</t>
  </si>
  <si>
    <t>336432</t>
  </si>
  <si>
    <t>西粟倉村</t>
  </si>
  <si>
    <t>336637</t>
  </si>
  <si>
    <t>久米南町</t>
  </si>
  <si>
    <t>336661</t>
  </si>
  <si>
    <t>美咲町</t>
  </si>
  <si>
    <t>336815</t>
  </si>
  <si>
    <t>吉備中央町</t>
  </si>
  <si>
    <t>340006</t>
  </si>
  <si>
    <t>広島県</t>
  </si>
  <si>
    <t>341002</t>
  </si>
  <si>
    <t>広島市</t>
  </si>
  <si>
    <t>342025</t>
  </si>
  <si>
    <t>呉市</t>
  </si>
  <si>
    <t>342033</t>
  </si>
  <si>
    <t>竹原市</t>
  </si>
  <si>
    <t>342041</t>
  </si>
  <si>
    <t>三原市</t>
  </si>
  <si>
    <t>342050</t>
  </si>
  <si>
    <t>尾道市</t>
  </si>
  <si>
    <t>342076</t>
  </si>
  <si>
    <t>福山市</t>
  </si>
  <si>
    <t>342084</t>
  </si>
  <si>
    <t>342092</t>
  </si>
  <si>
    <t>三次市</t>
  </si>
  <si>
    <t>342106</t>
  </si>
  <si>
    <t>庄原市</t>
  </si>
  <si>
    <t>342114</t>
  </si>
  <si>
    <t>大竹市</t>
  </si>
  <si>
    <t>342122</t>
  </si>
  <si>
    <t>東広島市</t>
  </si>
  <si>
    <t>342131</t>
  </si>
  <si>
    <t>廿日市市</t>
  </si>
  <si>
    <t>342149</t>
  </si>
  <si>
    <t>安芸高田市</t>
  </si>
  <si>
    <t>342157</t>
  </si>
  <si>
    <t>江田島市</t>
  </si>
  <si>
    <t>343021</t>
  </si>
  <si>
    <t>府中町</t>
  </si>
  <si>
    <t>343048</t>
  </si>
  <si>
    <t>海田町</t>
  </si>
  <si>
    <t>343072</t>
  </si>
  <si>
    <t>熊野町</t>
  </si>
  <si>
    <t>343099</t>
  </si>
  <si>
    <t>坂町</t>
  </si>
  <si>
    <t>343684</t>
  </si>
  <si>
    <t>安芸太田町</t>
  </si>
  <si>
    <t>343692</t>
  </si>
  <si>
    <t>北広島町</t>
  </si>
  <si>
    <t>344311</t>
  </si>
  <si>
    <t>大崎上島町</t>
  </si>
  <si>
    <t>344621</t>
  </si>
  <si>
    <t>世羅町</t>
  </si>
  <si>
    <t>345458</t>
  </si>
  <si>
    <t>神石高原町</t>
  </si>
  <si>
    <t>350001</t>
  </si>
  <si>
    <t>山口県</t>
  </si>
  <si>
    <t>352012</t>
  </si>
  <si>
    <t>下関市</t>
  </si>
  <si>
    <t>352021</t>
  </si>
  <si>
    <t>宇部市</t>
  </si>
  <si>
    <t>352039</t>
  </si>
  <si>
    <t>山口市</t>
  </si>
  <si>
    <t>352047</t>
  </si>
  <si>
    <t>萩市</t>
  </si>
  <si>
    <t>352063</t>
  </si>
  <si>
    <t>防府市</t>
  </si>
  <si>
    <t>352071</t>
  </si>
  <si>
    <t>下松市</t>
  </si>
  <si>
    <t>352080</t>
  </si>
  <si>
    <t>岩国市</t>
  </si>
  <si>
    <t>352101</t>
  </si>
  <si>
    <t>光市</t>
  </si>
  <si>
    <t>352110</t>
  </si>
  <si>
    <t>長門市</t>
  </si>
  <si>
    <t>352128</t>
  </si>
  <si>
    <t>柳井市</t>
  </si>
  <si>
    <t>352136</t>
  </si>
  <si>
    <t>美祢市</t>
  </si>
  <si>
    <t>352152</t>
  </si>
  <si>
    <t>周南市</t>
  </si>
  <si>
    <t>352161</t>
  </si>
  <si>
    <t>山陽小野田市</t>
  </si>
  <si>
    <t>353051</t>
  </si>
  <si>
    <t>周防大島町</t>
  </si>
  <si>
    <t>353213</t>
  </si>
  <si>
    <t>和木町</t>
  </si>
  <si>
    <t>353418</t>
  </si>
  <si>
    <t>上関町</t>
  </si>
  <si>
    <t>353434</t>
  </si>
  <si>
    <t>田布施町</t>
  </si>
  <si>
    <t>353442</t>
  </si>
  <si>
    <t>平生町</t>
  </si>
  <si>
    <t>355020</t>
  </si>
  <si>
    <t>阿武町</t>
  </si>
  <si>
    <t>360007</t>
  </si>
  <si>
    <t>徳島県</t>
  </si>
  <si>
    <t>362018</t>
  </si>
  <si>
    <t>徳島市</t>
  </si>
  <si>
    <t>362026</t>
  </si>
  <si>
    <t>鳴門市</t>
  </si>
  <si>
    <t>362034</t>
  </si>
  <si>
    <t>小松島市</t>
  </si>
  <si>
    <t>362042</t>
  </si>
  <si>
    <t>阿南市</t>
  </si>
  <si>
    <t>362051</t>
  </si>
  <si>
    <t>吉野川市</t>
  </si>
  <si>
    <t>362069</t>
  </si>
  <si>
    <t>阿波市</t>
  </si>
  <si>
    <t>362077</t>
  </si>
  <si>
    <t>美馬市</t>
  </si>
  <si>
    <t>362085</t>
  </si>
  <si>
    <t>三好市</t>
  </si>
  <si>
    <t>363014</t>
  </si>
  <si>
    <t>勝浦町</t>
  </si>
  <si>
    <t>363022</t>
  </si>
  <si>
    <t>上勝町</t>
  </si>
  <si>
    <t>363219</t>
  </si>
  <si>
    <t>佐那河内村</t>
  </si>
  <si>
    <t>363413</t>
  </si>
  <si>
    <t>石井町</t>
  </si>
  <si>
    <t>363421</t>
  </si>
  <si>
    <t>神山町</t>
  </si>
  <si>
    <t>363685</t>
  </si>
  <si>
    <t>那賀町</t>
  </si>
  <si>
    <t>363839</t>
  </si>
  <si>
    <t>牟岐町</t>
  </si>
  <si>
    <t>363871</t>
  </si>
  <si>
    <t>美波町</t>
  </si>
  <si>
    <t>363880</t>
  </si>
  <si>
    <t>海陽町</t>
  </si>
  <si>
    <t>364011</t>
  </si>
  <si>
    <t>松茂町</t>
  </si>
  <si>
    <t>364029</t>
  </si>
  <si>
    <t>北島町</t>
  </si>
  <si>
    <t>364037</t>
  </si>
  <si>
    <t>藍住町</t>
  </si>
  <si>
    <t>364045</t>
  </si>
  <si>
    <t>板野町</t>
  </si>
  <si>
    <t>364053</t>
  </si>
  <si>
    <t>上板町</t>
  </si>
  <si>
    <t>364681</t>
  </si>
  <si>
    <t>つるぎ町</t>
  </si>
  <si>
    <t>364894</t>
  </si>
  <si>
    <t>東みよし町</t>
  </si>
  <si>
    <t>370002</t>
  </si>
  <si>
    <t>香川県</t>
  </si>
  <si>
    <t>372013</t>
  </si>
  <si>
    <t>高松市</t>
  </si>
  <si>
    <t>372021</t>
  </si>
  <si>
    <t>丸亀市</t>
  </si>
  <si>
    <t>372030</t>
  </si>
  <si>
    <t>坂出市</t>
  </si>
  <si>
    <t>372048</t>
  </si>
  <si>
    <t>善通寺市</t>
  </si>
  <si>
    <t>372056</t>
  </si>
  <si>
    <t>観音寺市</t>
  </si>
  <si>
    <t>372064</t>
  </si>
  <si>
    <t>さぬき市</t>
  </si>
  <si>
    <t>372072</t>
  </si>
  <si>
    <t>東かがわ市</t>
  </si>
  <si>
    <t>372081</t>
  </si>
  <si>
    <t>三豊市</t>
  </si>
  <si>
    <t>373222</t>
  </si>
  <si>
    <t>土庄町</t>
  </si>
  <si>
    <t>373249</t>
  </si>
  <si>
    <t>小豆島町</t>
  </si>
  <si>
    <t>373419</t>
  </si>
  <si>
    <t>三木町</t>
  </si>
  <si>
    <t>373648</t>
  </si>
  <si>
    <t>直島町</t>
  </si>
  <si>
    <t>373869</t>
  </si>
  <si>
    <t>宇多津町</t>
  </si>
  <si>
    <t>373877</t>
  </si>
  <si>
    <t>綾川町</t>
  </si>
  <si>
    <t>374032</t>
  </si>
  <si>
    <t>琴平町</t>
  </si>
  <si>
    <t>374041</t>
  </si>
  <si>
    <t>多度津町</t>
  </si>
  <si>
    <t>374067</t>
  </si>
  <si>
    <t>まんのう町</t>
  </si>
  <si>
    <t>380008</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</si>
  <si>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</si>
  <si>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</si>
  <si>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</si>
  <si>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</si>
  <si>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</si>
  <si>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</si>
  <si>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</si>
  <si>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</si>
  <si>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</si>
  <si>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</si>
  <si>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</si>
  <si>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</si>
  <si>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</si>
  <si>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</si>
  <si>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</si>
  <si>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</si>
  <si>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</si>
  <si>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</si>
  <si>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</si>
  <si>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</si>
  <si>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</si>
  <si>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</si>
  <si>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</si>
  <si>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383562</t>
  </si>
  <si>
    <t>上島町</t>
  </si>
  <si>
    <t>383864</t>
  </si>
  <si>
    <t>久万高原町</t>
  </si>
  <si>
    <t>384011</t>
  </si>
  <si>
    <t>384020</t>
  </si>
  <si>
    <t>砥部町</t>
  </si>
  <si>
    <t>384224</t>
  </si>
  <si>
    <t>内子町</t>
  </si>
  <si>
    <t>384429</t>
  </si>
  <si>
    <t>伊方町</t>
  </si>
  <si>
    <t>384844</t>
  </si>
  <si>
    <t>松野町</t>
  </si>
  <si>
    <t>384887</t>
  </si>
  <si>
    <t>鬼北町</t>
  </si>
  <si>
    <t>385069</t>
  </si>
  <si>
    <t>愛南町</t>
  </si>
  <si>
    <t>390003</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</si>
  <si>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</si>
  <si>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</si>
  <si>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</si>
  <si>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</si>
  <si>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</si>
  <si>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</si>
  <si>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</si>
  <si>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</si>
  <si>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</si>
  <si>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</si>
  <si>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</si>
  <si>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</si>
  <si>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</si>
  <si>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</si>
  <si>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</si>
  <si>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</si>
  <si>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</si>
  <si>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</si>
  <si>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</si>
  <si>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</si>
  <si>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</si>
  <si>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</si>
  <si>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</si>
  <si>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393011</t>
  </si>
  <si>
    <t>東洋町</t>
  </si>
  <si>
    <t>393029</t>
  </si>
  <si>
    <t>奈半利町</t>
  </si>
  <si>
    <t>393037</t>
  </si>
  <si>
    <t>田野町</t>
  </si>
  <si>
    <t>393045</t>
  </si>
  <si>
    <t>安田町</t>
  </si>
  <si>
    <t>393053</t>
  </si>
  <si>
    <t>北川村</t>
  </si>
  <si>
    <t>393061</t>
  </si>
  <si>
    <t>馬路村</t>
  </si>
  <si>
    <t>393070</t>
  </si>
  <si>
    <t>芸西村</t>
  </si>
  <si>
    <t>393410</t>
  </si>
  <si>
    <t>本山町</t>
  </si>
  <si>
    <t>393444</t>
  </si>
  <si>
    <t>大豊町</t>
  </si>
  <si>
    <t>393631</t>
  </si>
  <si>
    <t>土佐町</t>
  </si>
  <si>
    <t>393649</t>
  </si>
  <si>
    <t>大川村</t>
  </si>
  <si>
    <t>393860</t>
  </si>
  <si>
    <t>いの町</t>
  </si>
  <si>
    <t>393878</t>
  </si>
  <si>
    <t>仁淀川町</t>
  </si>
  <si>
    <t>394017</t>
  </si>
  <si>
    <t>中土佐町</t>
  </si>
  <si>
    <t>394025</t>
  </si>
  <si>
    <t>佐川町</t>
  </si>
  <si>
    <t>394033</t>
  </si>
  <si>
    <t>越知町</t>
  </si>
  <si>
    <t>394050</t>
  </si>
  <si>
    <t>梼原町</t>
  </si>
  <si>
    <t>394106</t>
  </si>
  <si>
    <t>日高村</t>
  </si>
  <si>
    <t>394114</t>
  </si>
  <si>
    <t>津野町</t>
  </si>
  <si>
    <t>394122</t>
  </si>
  <si>
    <t>四万十町</t>
  </si>
  <si>
    <t>394246</t>
  </si>
  <si>
    <t>大月町</t>
  </si>
  <si>
    <t>394271</t>
  </si>
  <si>
    <t>三原村</t>
  </si>
  <si>
    <t>394289</t>
  </si>
  <si>
    <t>黒潮町</t>
  </si>
  <si>
    <t>400009</t>
  </si>
  <si>
    <t>福岡県</t>
  </si>
  <si>
    <t>401005</t>
  </si>
  <si>
    <t>北九州市</t>
  </si>
  <si>
    <t>401307</t>
  </si>
  <si>
    <t>福岡市</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</si>
  <si>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</si>
  <si>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</si>
  <si>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</si>
  <si>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</si>
  <si>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</si>
  <si>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</si>
  <si>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</si>
  <si>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</si>
  <si>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</si>
  <si>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</si>
  <si>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</si>
  <si>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</si>
  <si>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</si>
  <si>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</si>
  <si>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</si>
  <si>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</si>
  <si>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</si>
  <si>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</si>
  <si>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</si>
  <si>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402141</t>
  </si>
  <si>
    <t>豊前市</t>
  </si>
  <si>
    <t>402150</t>
  </si>
  <si>
    <t>中間市</t>
  </si>
  <si>
    <t>402168</t>
  </si>
  <si>
    <t>小郡市</t>
  </si>
  <si>
    <t>402176</t>
  </si>
  <si>
    <t>筑紫野市</t>
  </si>
  <si>
    <t>402184</t>
  </si>
  <si>
    <t>春日市</t>
  </si>
  <si>
    <t>402192</t>
  </si>
  <si>
    <t>大野城市</t>
  </si>
  <si>
    <t>402206</t>
  </si>
  <si>
    <t>宗像市</t>
  </si>
  <si>
    <t>402214</t>
  </si>
  <si>
    <t>太宰府市</t>
  </si>
  <si>
    <t>402231</t>
  </si>
  <si>
    <t>古賀市</t>
  </si>
  <si>
    <t>402249</t>
  </si>
  <si>
    <t>福津市</t>
  </si>
  <si>
    <t>402257</t>
  </si>
  <si>
    <t>うきは市</t>
  </si>
  <si>
    <t>402265</t>
  </si>
  <si>
    <t>宮若市</t>
  </si>
  <si>
    <t>402273</t>
  </si>
  <si>
    <t>嘉麻市</t>
  </si>
  <si>
    <t>402281</t>
  </si>
  <si>
    <t>朝倉市</t>
  </si>
  <si>
    <t>402290</t>
  </si>
  <si>
    <t>みやま市</t>
  </si>
  <si>
    <t>402303</t>
  </si>
  <si>
    <t>糸島市</t>
  </si>
  <si>
    <t>403415</t>
  </si>
  <si>
    <t>宇美町</t>
  </si>
  <si>
    <t>403423</t>
  </si>
  <si>
    <t>篠栗町</t>
  </si>
  <si>
    <t>403431</t>
  </si>
  <si>
    <t>志免町</t>
  </si>
  <si>
    <t>403440</t>
  </si>
  <si>
    <t>須恵町</t>
  </si>
  <si>
    <t>403458</t>
  </si>
  <si>
    <t>新宮町</t>
  </si>
  <si>
    <t>403482</t>
  </si>
  <si>
    <t>久山町</t>
  </si>
  <si>
    <t>403491</t>
  </si>
  <si>
    <t>粕屋町</t>
  </si>
  <si>
    <t>403814</t>
  </si>
  <si>
    <t>芦屋町</t>
  </si>
  <si>
    <t>403822</t>
  </si>
  <si>
    <t>水巻町</t>
  </si>
  <si>
    <t>403831</t>
  </si>
  <si>
    <t>岡垣町</t>
  </si>
  <si>
    <t>403849</t>
  </si>
  <si>
    <t>遠賀町</t>
  </si>
  <si>
    <t>404012</t>
  </si>
  <si>
    <t>小竹町</t>
  </si>
  <si>
    <t>404021</t>
  </si>
  <si>
    <t>鞍手町</t>
  </si>
  <si>
    <t>404217</t>
  </si>
  <si>
    <t>桂川町</t>
  </si>
  <si>
    <t>404471</t>
  </si>
  <si>
    <t>筑前町</t>
  </si>
  <si>
    <t>404489</t>
  </si>
  <si>
    <t>東峰村</t>
  </si>
  <si>
    <t>405035</t>
  </si>
  <si>
    <t>大刀洗町</t>
  </si>
  <si>
    <t>405221</t>
  </si>
  <si>
    <t>大木町</t>
  </si>
  <si>
    <t>405442</t>
  </si>
  <si>
    <t>406015</t>
  </si>
  <si>
    <t>香春町</t>
  </si>
  <si>
    <t>406023</t>
  </si>
  <si>
    <t>添田町</t>
  </si>
  <si>
    <t>406040</t>
  </si>
  <si>
    <t>糸田町</t>
  </si>
  <si>
    <t>406058</t>
  </si>
  <si>
    <t>406082</t>
  </si>
  <si>
    <t>大任町</t>
  </si>
  <si>
    <t>406091</t>
  </si>
  <si>
    <t>406104</t>
  </si>
  <si>
    <t>福智町</t>
  </si>
  <si>
    <t>406210</t>
  </si>
  <si>
    <t>苅田町</t>
  </si>
  <si>
    <t>406252</t>
  </si>
  <si>
    <t>みやこ町</t>
  </si>
  <si>
    <t>406422</t>
  </si>
  <si>
    <t>吉富町</t>
  </si>
  <si>
    <t>406465</t>
  </si>
  <si>
    <t>上毛町</t>
  </si>
  <si>
    <t>406473</t>
  </si>
  <si>
    <t>築上町</t>
  </si>
  <si>
    <t>410004</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</si>
  <si>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</si>
  <si>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</si>
  <si>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</si>
  <si>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</si>
  <si>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</si>
  <si>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</si>
  <si>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</si>
  <si>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</si>
  <si>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</si>
  <si>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</si>
  <si>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</si>
  <si>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</si>
  <si>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</si>
  <si>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</si>
  <si>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</si>
  <si>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</si>
  <si>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</si>
  <si>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</si>
  <si>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</si>
  <si>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</si>
  <si>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</si>
  <si>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413275</t>
  </si>
  <si>
    <t>吉野ヶ里町</t>
  </si>
  <si>
    <t>413411</t>
  </si>
  <si>
    <t>基山町</t>
  </si>
  <si>
    <t>413453</t>
  </si>
  <si>
    <t>上峰町</t>
  </si>
  <si>
    <t>413461</t>
  </si>
  <si>
    <t>みやき町</t>
  </si>
  <si>
    <t>413879</t>
  </si>
  <si>
    <t>玄海町</t>
  </si>
  <si>
    <t>414018</t>
  </si>
  <si>
    <t>有田町</t>
  </si>
  <si>
    <t>414239</t>
  </si>
  <si>
    <t>大町町</t>
  </si>
  <si>
    <t>414247</t>
  </si>
  <si>
    <t>江北町</t>
  </si>
  <si>
    <t>414255</t>
  </si>
  <si>
    <t>白石町</t>
  </si>
  <si>
    <t>414417</t>
  </si>
  <si>
    <t>太良町</t>
  </si>
  <si>
    <t>420000</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</si>
  <si>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</si>
  <si>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</si>
  <si>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</si>
  <si>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</si>
  <si>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</si>
  <si>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</si>
  <si>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</si>
  <si>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</si>
  <si>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</si>
  <si>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</si>
  <si>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</si>
  <si>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</si>
  <si>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</si>
  <si>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</si>
  <si>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</si>
  <si>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</si>
  <si>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</si>
  <si>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</si>
  <si>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</si>
  <si>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</si>
  <si>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</si>
  <si>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422126</t>
  </si>
  <si>
    <t>西海市</t>
  </si>
  <si>
    <t>422134</t>
  </si>
  <si>
    <t>雲仙市</t>
  </si>
  <si>
    <t>422142</t>
  </si>
  <si>
    <t>南島原市</t>
  </si>
  <si>
    <t>423076</t>
  </si>
  <si>
    <t>長与町</t>
  </si>
  <si>
    <t>423084</t>
  </si>
  <si>
    <t>時津町</t>
  </si>
  <si>
    <t>423211</t>
  </si>
  <si>
    <t>東彼杵町</t>
  </si>
  <si>
    <t>423220</t>
  </si>
  <si>
    <t>川棚町</t>
  </si>
  <si>
    <t>423238</t>
  </si>
  <si>
    <t>波佐見町</t>
  </si>
  <si>
    <t>423831</t>
  </si>
  <si>
    <t>小値賀町</t>
  </si>
  <si>
    <t>423912</t>
  </si>
  <si>
    <t>佐々町</t>
  </si>
  <si>
    <t>424111</t>
  </si>
  <si>
    <t>新上五島町</t>
  </si>
  <si>
    <t>430005</t>
  </si>
  <si>
    <t>熊本県</t>
  </si>
  <si>
    <t>431001</t>
  </si>
  <si>
    <t>熊本市</t>
  </si>
  <si>
    <t>432024</t>
  </si>
  <si>
    <t>八代市</t>
  </si>
  <si>
    <t>432032</t>
  </si>
  <si>
    <t>人吉市</t>
  </si>
  <si>
    <t>432041</t>
  </si>
  <si>
    <t>荒尾市</t>
  </si>
  <si>
    <t>432059</t>
  </si>
  <si>
    <t>水俣市</t>
  </si>
  <si>
    <t>432067</t>
  </si>
  <si>
    <t>玉名市</t>
  </si>
  <si>
    <t>432083</t>
  </si>
  <si>
    <t>山鹿市</t>
  </si>
  <si>
    <t>432105</t>
  </si>
  <si>
    <t>菊池市</t>
  </si>
  <si>
    <t>432113</t>
  </si>
  <si>
    <t>宇土市</t>
  </si>
  <si>
    <t>432121</t>
  </si>
  <si>
    <t>上天草市</t>
  </si>
  <si>
    <t>432130</t>
  </si>
  <si>
    <t>宇城市</t>
  </si>
  <si>
    <t>432148</t>
  </si>
  <si>
    <t>阿蘇市</t>
  </si>
  <si>
    <t>432156</t>
  </si>
  <si>
    <t>天草市</t>
  </si>
  <si>
    <t>432164</t>
  </si>
  <si>
    <t>合志市</t>
  </si>
  <si>
    <t>433489</t>
  </si>
  <si>
    <t>433641</t>
  </si>
  <si>
    <t>玉東町</t>
  </si>
  <si>
    <t>433675</t>
  </si>
  <si>
    <t>南関町</t>
  </si>
  <si>
    <t>433683</t>
  </si>
  <si>
    <t>長洲町</t>
  </si>
  <si>
    <t>433691</t>
  </si>
  <si>
    <t>和水町</t>
  </si>
  <si>
    <t>434035</t>
  </si>
  <si>
    <t>大津町</t>
  </si>
  <si>
    <t>434043</t>
  </si>
  <si>
    <t>菊陽町</t>
  </si>
  <si>
    <t>434230</t>
  </si>
  <si>
    <t>南小国町</t>
  </si>
  <si>
    <t>434248</t>
  </si>
  <si>
    <t>434256</t>
  </si>
  <si>
    <t>産山村</t>
  </si>
  <si>
    <t>434281</t>
  </si>
  <si>
    <t>434329</t>
  </si>
  <si>
    <t>西原村</t>
  </si>
  <si>
    <t>434337</t>
  </si>
  <si>
    <t>南阿蘇村</t>
  </si>
  <si>
    <t>434418</t>
  </si>
  <si>
    <t>御船町</t>
  </si>
  <si>
    <t>434426</t>
  </si>
  <si>
    <t>嘉島町</t>
  </si>
  <si>
    <t>434434</t>
  </si>
  <si>
    <t>益城町</t>
  </si>
  <si>
    <t>434442</t>
  </si>
  <si>
    <t>甲佐町</t>
  </si>
  <si>
    <t>434477</t>
  </si>
  <si>
    <t>山都町</t>
  </si>
  <si>
    <t>434680</t>
  </si>
  <si>
    <t>氷川町</t>
  </si>
  <si>
    <t>434825</t>
  </si>
  <si>
    <t>芦北町</t>
  </si>
  <si>
    <t>434841</t>
  </si>
  <si>
    <t>津奈木町</t>
  </si>
  <si>
    <t>435015</t>
  </si>
  <si>
    <t>錦町</t>
  </si>
  <si>
    <t>435058</t>
  </si>
  <si>
    <t>多良木町</t>
  </si>
  <si>
    <t>435066</t>
  </si>
  <si>
    <t>湯前町</t>
  </si>
  <si>
    <t>435074</t>
  </si>
  <si>
    <t>水上村</t>
  </si>
  <si>
    <t>435104</t>
  </si>
  <si>
    <t>相良村</t>
  </si>
  <si>
    <t>435112</t>
  </si>
  <si>
    <t>五木村</t>
  </si>
  <si>
    <t>435121</t>
  </si>
  <si>
    <t>山江村</t>
  </si>
  <si>
    <t>435139</t>
  </si>
  <si>
    <t>球磨村</t>
  </si>
  <si>
    <t>435147</t>
  </si>
  <si>
    <t>あさぎり町</t>
  </si>
  <si>
    <t>435317</t>
  </si>
  <si>
    <t>苓北町</t>
  </si>
  <si>
    <t>440001</t>
  </si>
  <si>
    <t>大分県</t>
  </si>
  <si>
    <t>442011</t>
  </si>
  <si>
    <t>大分市</t>
  </si>
  <si>
    <t>442020</t>
  </si>
  <si>
    <t>別府市</t>
  </si>
  <si>
    <t>442038</t>
  </si>
  <si>
    <t>中津市</t>
  </si>
  <si>
    <t>442046</t>
  </si>
  <si>
    <t>日田市</t>
  </si>
  <si>
    <t>442054</t>
  </si>
  <si>
    <t>佐伯市</t>
  </si>
  <si>
    <t>442062</t>
  </si>
  <si>
    <t>臼杵市</t>
  </si>
  <si>
    <t>442071</t>
  </si>
  <si>
    <t>津久見市</t>
  </si>
  <si>
    <t>442089</t>
  </si>
  <si>
    <t>竹田市</t>
  </si>
  <si>
    <t>442097</t>
  </si>
  <si>
    <t>豊後高田市</t>
  </si>
  <si>
    <t>442101</t>
  </si>
  <si>
    <t>杵築市</t>
  </si>
  <si>
    <t>442119</t>
  </si>
  <si>
    <t>宇佐市</t>
  </si>
  <si>
    <t>442127</t>
  </si>
  <si>
    <t>豊後大野市</t>
  </si>
  <si>
    <t>442135</t>
  </si>
  <si>
    <t>由布市</t>
  </si>
  <si>
    <t>442143</t>
  </si>
  <si>
    <t>国東市</t>
  </si>
  <si>
    <t>443221</t>
  </si>
  <si>
    <t>姫島村</t>
  </si>
  <si>
    <t>443417</t>
  </si>
  <si>
    <t>日出町</t>
  </si>
  <si>
    <t>444618</t>
  </si>
  <si>
    <t>九重町</t>
  </si>
  <si>
    <t>444626</t>
  </si>
  <si>
    <t>玖珠町</t>
  </si>
  <si>
    <t>450006</t>
  </si>
  <si>
    <t>452017</t>
  </si>
  <si>
    <t>宮崎県</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</si>
  <si>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</si>
  <si>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</si>
  <si>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</si>
  <si>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</si>
  <si>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</si>
  <si>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</si>
  <si>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</si>
  <si>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</si>
  <si>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</si>
  <si>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</si>
  <si>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</si>
  <si>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</si>
  <si>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</si>
  <si>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</si>
  <si>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</si>
  <si>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</si>
  <si>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</si>
  <si>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453412</t>
  </si>
  <si>
    <t>三股町</t>
  </si>
  <si>
    <t>453617</t>
  </si>
  <si>
    <t>高原町</t>
  </si>
  <si>
    <t>453820</t>
  </si>
  <si>
    <t>国富町</t>
  </si>
  <si>
    <t>453838</t>
  </si>
  <si>
    <t>綾町</t>
  </si>
  <si>
    <t>454010</t>
  </si>
  <si>
    <t>高鍋町</t>
  </si>
  <si>
    <t>454028</t>
  </si>
  <si>
    <t>新富町</t>
  </si>
  <si>
    <t>454036</t>
  </si>
  <si>
    <t>西米良村</t>
  </si>
  <si>
    <t>454044</t>
  </si>
  <si>
    <t>木城町</t>
  </si>
  <si>
    <t>454052</t>
  </si>
  <si>
    <t>川南町</t>
  </si>
  <si>
    <t>454061</t>
  </si>
  <si>
    <t>都農町</t>
  </si>
  <si>
    <t>454214</t>
  </si>
  <si>
    <t>門川町</t>
  </si>
  <si>
    <t>454290</t>
  </si>
  <si>
    <t>諸塚村</t>
  </si>
  <si>
    <t>454303</t>
  </si>
  <si>
    <t>椎葉村</t>
  </si>
  <si>
    <t>454311</t>
  </si>
  <si>
    <t>454419</t>
  </si>
  <si>
    <t>高千穂町</t>
  </si>
  <si>
    <t>454427</t>
  </si>
  <si>
    <t>日之影町</t>
  </si>
  <si>
    <t>454435</t>
  </si>
  <si>
    <t>五ヶ瀬町</t>
  </si>
  <si>
    <t>460001</t>
  </si>
  <si>
    <t>鹿児島県</t>
  </si>
  <si>
    <t>462012</t>
  </si>
  <si>
    <t>鹿児島市</t>
  </si>
  <si>
    <t>462039</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</si>
  <si>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</si>
  <si>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</si>
  <si>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</si>
  <si>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</si>
  <si>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</si>
  <si>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</si>
  <si>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</si>
  <si>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</si>
  <si>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</si>
  <si>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</si>
  <si>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</si>
  <si>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</si>
  <si>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</si>
  <si>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</si>
  <si>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</si>
  <si>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</si>
  <si>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</si>
  <si>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</si>
  <si>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</si>
  <si>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</si>
  <si>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</si>
  <si>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</si>
  <si>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</si>
  <si>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</si>
  <si>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</si>
  <si>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</si>
  <si>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</si>
  <si>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</si>
  <si>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</si>
  <si>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</si>
  <si>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</si>
  <si>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</si>
  <si>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</si>
  <si>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</si>
  <si>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</si>
  <si>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463035</t>
  </si>
  <si>
    <t>三島村</t>
  </si>
  <si>
    <t>463043</t>
  </si>
  <si>
    <t>十島村</t>
  </si>
  <si>
    <t>463922</t>
  </si>
  <si>
    <t>さつま町</t>
  </si>
  <si>
    <t>464040</t>
  </si>
  <si>
    <t>長島町</t>
  </si>
  <si>
    <t>464520</t>
  </si>
  <si>
    <t>湧水町</t>
  </si>
  <si>
    <t>464686</t>
  </si>
  <si>
    <t>大崎町</t>
  </si>
  <si>
    <t>464821</t>
  </si>
  <si>
    <t>東串良町</t>
  </si>
  <si>
    <t>464902</t>
  </si>
  <si>
    <t>錦江町</t>
  </si>
  <si>
    <t>464911</t>
  </si>
  <si>
    <t>南大隅町</t>
  </si>
  <si>
    <t>464929</t>
  </si>
  <si>
    <t>肝付町</t>
  </si>
  <si>
    <t>465011</t>
  </si>
  <si>
    <t>中種子町</t>
  </si>
  <si>
    <t>465020</t>
  </si>
  <si>
    <t>南種子町</t>
  </si>
  <si>
    <t>465054</t>
  </si>
  <si>
    <t>屋久島町</t>
  </si>
  <si>
    <t>465232</t>
  </si>
  <si>
    <t>大和村</t>
  </si>
  <si>
    <t>465241</t>
  </si>
  <si>
    <t>宇検村</t>
  </si>
  <si>
    <t>465259</t>
  </si>
  <si>
    <t>瀬戸内町</t>
  </si>
  <si>
    <t>465275</t>
  </si>
  <si>
    <t>龍郷町</t>
  </si>
  <si>
    <t>465291</t>
  </si>
  <si>
    <t>喜界町</t>
  </si>
  <si>
    <t>465305</t>
  </si>
  <si>
    <t>徳之島町</t>
  </si>
  <si>
    <t>465313</t>
  </si>
  <si>
    <t>天城町</t>
  </si>
  <si>
    <t>465321</t>
  </si>
  <si>
    <t>伊仙町</t>
  </si>
  <si>
    <t>465330</t>
  </si>
  <si>
    <t>和泊町</t>
  </si>
  <si>
    <t>465348</t>
  </si>
  <si>
    <t>知名町</t>
  </si>
  <si>
    <t>465356</t>
  </si>
  <si>
    <t>与論町</t>
  </si>
  <si>
    <t>470007</t>
  </si>
  <si>
    <t>沖縄県</t>
  </si>
  <si>
    <t>472018</t>
  </si>
  <si>
    <t>那覇市</t>
  </si>
  <si>
    <t>472051</t>
  </si>
  <si>
    <t>宜野湾市</t>
  </si>
  <si>
    <t>472077</t>
  </si>
  <si>
    <t>石垣市</t>
  </si>
  <si>
    <t>472085</t>
  </si>
  <si>
    <t>浦添市</t>
  </si>
  <si>
    <t>472093</t>
  </si>
  <si>
    <t>名護市</t>
  </si>
  <si>
    <t>472107</t>
  </si>
  <si>
    <t>糸満市</t>
  </si>
  <si>
    <t>472115</t>
  </si>
  <si>
    <t>沖縄市</t>
  </si>
  <si>
    <t>472123</t>
  </si>
  <si>
    <t>豊見城市</t>
  </si>
  <si>
    <t>472131</t>
  </si>
  <si>
    <t>うるま市</t>
  </si>
  <si>
    <t>472140</t>
  </si>
  <si>
    <t>宮古島市</t>
  </si>
  <si>
    <t>472158</t>
  </si>
  <si>
    <t>南城市</t>
  </si>
  <si>
    <t>473014</t>
  </si>
  <si>
    <t>国頭村</t>
  </si>
  <si>
    <t>473022</t>
  </si>
  <si>
    <t>大宜味村</t>
  </si>
  <si>
    <t>473031</t>
  </si>
  <si>
    <t>東村</t>
  </si>
  <si>
    <t>473065</t>
  </si>
  <si>
    <t>今帰仁村</t>
  </si>
  <si>
    <t>473081</t>
  </si>
  <si>
    <t>本部町</t>
  </si>
  <si>
    <t>473111</t>
  </si>
  <si>
    <t>恩納村</t>
  </si>
  <si>
    <t>473138</t>
  </si>
  <si>
    <t>宜野座村</t>
  </si>
  <si>
    <t>473146</t>
  </si>
  <si>
    <t>金武町</t>
  </si>
  <si>
    <t>473154</t>
  </si>
  <si>
    <t>伊江村</t>
  </si>
  <si>
    <t>473243</t>
  </si>
  <si>
    <t>読谷村</t>
  </si>
  <si>
    <t>473251</t>
  </si>
  <si>
    <t>嘉手納町</t>
  </si>
  <si>
    <t>473260</t>
  </si>
  <si>
    <t>北谷町</t>
  </si>
  <si>
    <t>473278</t>
  </si>
  <si>
    <t>北中城村</t>
  </si>
  <si>
    <t>473286</t>
  </si>
  <si>
    <t>中城村</t>
  </si>
  <si>
    <t>473294</t>
  </si>
  <si>
    <t>西原町</t>
  </si>
  <si>
    <t>473481</t>
  </si>
  <si>
    <t>与那原町</t>
  </si>
  <si>
    <t>473502</t>
  </si>
  <si>
    <t>南風原町</t>
  </si>
  <si>
    <t>473537</t>
  </si>
  <si>
    <t>渡嘉敷村</t>
  </si>
  <si>
    <t>473545</t>
  </si>
  <si>
    <t>座間味村</t>
  </si>
  <si>
    <t>473553</t>
  </si>
  <si>
    <t>粟国村</t>
  </si>
  <si>
    <t>473561</t>
  </si>
  <si>
    <t>渡名喜村</t>
  </si>
  <si>
    <t>473570</t>
  </si>
  <si>
    <t>南大東村</t>
  </si>
  <si>
    <t>473588</t>
  </si>
  <si>
    <t>北大東村</t>
  </si>
  <si>
    <t>473596</t>
  </si>
  <si>
    <t>伊平屋村</t>
  </si>
  <si>
    <t>473600</t>
  </si>
  <si>
    <t>伊是名村</t>
  </si>
  <si>
    <t>473618</t>
  </si>
  <si>
    <t>久米島町</t>
  </si>
  <si>
    <t>473626</t>
  </si>
  <si>
    <t>八重瀬町</t>
  </si>
  <si>
    <t>473758</t>
  </si>
  <si>
    <t>多良間村</t>
  </si>
  <si>
    <t>473812</t>
  </si>
  <si>
    <t>竹富町</t>
  </si>
  <si>
    <t>473821</t>
  </si>
  <si>
    <t>与那国町</t>
  </si>
  <si>
    <t>団体コード</t>
    <rPh sb="0" eb="2">
      <t>ダンタイ</t>
    </rPh>
    <phoneticPr fontId="31"/>
  </si>
  <si>
    <t>都道府県名
（漢字）</t>
    <rPh sb="0" eb="4">
      <t>トドウフケン</t>
    </rPh>
    <rPh sb="4" eb="5">
      <t>メイ</t>
    </rPh>
    <rPh sb="7" eb="9">
      <t>カンジ</t>
    </rPh>
    <phoneticPr fontId="31"/>
  </si>
  <si>
    <t>市区町村名
（漢字）</t>
    <rPh sb="0" eb="2">
      <t>シク</t>
    </rPh>
    <rPh sb="2" eb="4">
      <t>チョウソン</t>
    </rPh>
    <rPh sb="4" eb="5">
      <t>メイ</t>
    </rPh>
    <rPh sb="7" eb="9">
      <t>カンジ</t>
    </rPh>
    <phoneticPr fontId="31"/>
  </si>
  <si>
    <t>長万部町</t>
  </si>
  <si>
    <t>滝沢市</t>
    <rPh sb="2" eb="3">
      <t>シ</t>
    </rPh>
    <phoneticPr fontId="31"/>
  </si>
  <si>
    <t>富谷市</t>
    <rPh sb="2" eb="3">
      <t>シ</t>
    </rPh>
    <phoneticPr fontId="31"/>
  </si>
  <si>
    <t>白岡市</t>
    <rPh sb="0" eb="2">
      <t>シラオカ</t>
    </rPh>
    <rPh sb="2" eb="3">
      <t>シ</t>
    </rPh>
    <phoneticPr fontId="31"/>
  </si>
  <si>
    <t>大網白里市</t>
    <rPh sb="4" eb="5">
      <t>シ</t>
    </rPh>
    <phoneticPr fontId="31"/>
  </si>
  <si>
    <t>福井県</t>
  </si>
  <si>
    <t>彦根市</t>
  </si>
  <si>
    <t>丹波篠山市</t>
    <rPh sb="0" eb="2">
      <t>タンバ</t>
    </rPh>
    <rPh sb="2" eb="5">
      <t>ササヤマシ</t>
    </rPh>
    <phoneticPr fontId="31"/>
  </si>
  <si>
    <t>松江市</t>
  </si>
  <si>
    <t>行橋市</t>
  </si>
  <si>
    <t>402311</t>
  </si>
  <si>
    <t>福岡県</t>
    <rPh sb="0" eb="3">
      <t>フクオカケン</t>
    </rPh>
    <phoneticPr fontId="31"/>
  </si>
  <si>
    <t>那珂川市</t>
    <rPh sb="0" eb="3">
      <t>ナカガワ</t>
    </rPh>
    <rPh sb="3" eb="4">
      <t>シ</t>
    </rPh>
    <phoneticPr fontId="31"/>
  </si>
  <si>
    <t>赤村</t>
  </si>
  <si>
    <t>５．寄附者と継続的なつながりを持つための取組を行っていますか。</t>
    <rPh sb="15" eb="16">
      <t>モ</t>
    </rPh>
    <phoneticPr fontId="12"/>
  </si>
  <si>
    <t>※返礼品等に要したものやふるさと納税事業に係る事務費等は除きます。</t>
    <phoneticPr fontId="12"/>
  </si>
  <si>
    <t>　①　行っている</t>
    <phoneticPr fontId="12"/>
  </si>
  <si>
    <t>　②　行っていない</t>
    <phoneticPr fontId="12"/>
  </si>
  <si>
    <t>＜Ⅰ.ふるさと納税の受入件数及び受入額＞</t>
    <rPh sb="10" eb="12">
      <t>ウケイレ</t>
    </rPh>
    <rPh sb="12" eb="14">
      <t>ケンスウ</t>
    </rPh>
    <rPh sb="14" eb="15">
      <t>オヨ</t>
    </rPh>
    <phoneticPr fontId="12"/>
  </si>
  <si>
    <t>件数</t>
    <phoneticPr fontId="12"/>
  </si>
  <si>
    <t>金額</t>
    <rPh sb="0" eb="2">
      <t>キンガク</t>
    </rPh>
    <phoneticPr fontId="12"/>
  </si>
  <si>
    <t>④　①のうち、被災地方団体の
代理受入に係るもの</t>
    <phoneticPr fontId="12"/>
  </si>
  <si>
    <t>②　①のうち、市区町村外(都道府県外）
からの寄附に係るもの</t>
    <phoneticPr fontId="12"/>
  </si>
  <si>
    <t>③　①のうち、特例申請書の提出があったもの</t>
    <phoneticPr fontId="12"/>
  </si>
  <si>
    <t>＜Ⅳ.ふるさと納税を財源として実施した事業＞</t>
    <rPh sb="10" eb="12">
      <t>ザイゲン</t>
    </rPh>
    <phoneticPr fontId="12"/>
  </si>
  <si>
    <t>＜Ⅴ．返礼品等の提供の状況＞</t>
    <rPh sb="5" eb="6">
      <t>ヒン</t>
    </rPh>
    <rPh sb="6" eb="7">
      <t>トウ</t>
    </rPh>
    <rPh sb="8" eb="10">
      <t>テイキョウ</t>
    </rPh>
    <rPh sb="11" eb="13">
      <t>ジョウキョウ</t>
    </rPh>
    <phoneticPr fontId="12"/>
  </si>
  <si>
    <t>　①返礼品等を送付している</t>
    <rPh sb="5" eb="6">
      <t>トウ</t>
    </rPh>
    <phoneticPr fontId="12"/>
  </si>
  <si>
    <t>　②返礼品等を送付していない</t>
    <rPh sb="5" eb="6">
      <t>トウ</t>
    </rPh>
    <phoneticPr fontId="12"/>
  </si>
  <si>
    <t>返礼品等の調達に係る費用</t>
    <rPh sb="3" eb="4">
      <t>トウ</t>
    </rPh>
    <phoneticPr fontId="12"/>
  </si>
  <si>
    <t>返礼品等の送付に係る費用</t>
    <rPh sb="3" eb="4">
      <t>トウ</t>
    </rPh>
    <phoneticPr fontId="12"/>
  </si>
  <si>
    <t>合計</t>
    <rPh sb="0" eb="2">
      <t>ゴウケイ</t>
    </rPh>
    <phoneticPr fontId="12"/>
  </si>
  <si>
    <t>ふるさと納税現況調査（調査票Ａ）【回答期日：令和　年　月　日】</t>
    <phoneticPr fontId="12"/>
  </si>
  <si>
    <t>（件）</t>
    <rPh sb="1" eb="2">
      <t>ケン</t>
    </rPh>
    <phoneticPr fontId="12"/>
  </si>
  <si>
    <t>順位</t>
    <phoneticPr fontId="12"/>
  </si>
  <si>
    <t>３割超のみ</t>
    <rPh sb="1" eb="2">
      <t>ワリ</t>
    </rPh>
    <rPh sb="2" eb="3">
      <t>チョウ</t>
    </rPh>
    <phoneticPr fontId="12"/>
  </si>
  <si>
    <t>地場産品以外のみ</t>
    <rPh sb="0" eb="2">
      <t>ジバ</t>
    </rPh>
    <rPh sb="2" eb="4">
      <t>サンピン</t>
    </rPh>
    <rPh sb="4" eb="6">
      <t>イガイ</t>
    </rPh>
    <phoneticPr fontId="12"/>
  </si>
  <si>
    <t>３割超かつ地場産品以外</t>
    <rPh sb="1" eb="2">
      <t>ワリ</t>
    </rPh>
    <rPh sb="2" eb="3">
      <t>チョウ</t>
    </rPh>
    <rPh sb="5" eb="7">
      <t>ジバ</t>
    </rPh>
    <rPh sb="7" eb="9">
      <t>サンピン</t>
    </rPh>
    <rPh sb="9" eb="11">
      <t>イガイ</t>
    </rPh>
    <phoneticPr fontId="12"/>
  </si>
  <si>
    <t>問題なし</t>
    <rPh sb="0" eb="2">
      <t>モンダイ</t>
    </rPh>
    <phoneticPr fontId="12"/>
  </si>
  <si>
    <t>(a) / (A)</t>
    <phoneticPr fontId="12"/>
  </si>
  <si>
    <t>地場産品</t>
    <rPh sb="0" eb="2">
      <t>ジバ</t>
    </rPh>
    <rPh sb="2" eb="4">
      <t>サンピン</t>
    </rPh>
    <phoneticPr fontId="12"/>
  </si>
  <si>
    <t>地場産品の確認</t>
    <rPh sb="0" eb="2">
      <t>ジバ</t>
    </rPh>
    <rPh sb="2" eb="4">
      <t>サンピン</t>
    </rPh>
    <rPh sb="5" eb="7">
      <t>カクニン</t>
    </rPh>
    <phoneticPr fontId="12"/>
  </si>
  <si>
    <t>チェック欄</t>
    <rPh sb="4" eb="5">
      <t>ラン</t>
    </rPh>
    <phoneticPr fontId="12"/>
  </si>
  <si>
    <t>非表示</t>
    <rPh sb="0" eb="3">
      <t>ヒヒョウジ</t>
    </rPh>
    <phoneticPr fontId="12"/>
  </si>
  <si>
    <t>※個別の品目名や調達費用等、返礼品提供事業者と地方団体の個別の契約内容に係る情報については、対外的に公表することはありません。</t>
    <phoneticPr fontId="12"/>
  </si>
  <si>
    <t>(円)</t>
    <rPh sb="1" eb="2">
      <t>エン</t>
    </rPh>
    <phoneticPr fontId="12"/>
  </si>
  <si>
    <t>１．ふるさと納税を募集する際に、使途（ふるさと納税を財源として実施する事業等）を選択できるようにしていますか。</t>
    <phoneticPr fontId="12"/>
  </si>
  <si>
    <t>①実施している</t>
    <rPh sb="1" eb="3">
      <t>ジッシ</t>
    </rPh>
    <phoneticPr fontId="12"/>
  </si>
  <si>
    <t>②実施していない</t>
    <rPh sb="1" eb="3">
      <t>ジッシ</t>
    </rPh>
    <phoneticPr fontId="12"/>
  </si>
  <si>
    <t>プロジェクトの概要</t>
    <rPh sb="7" eb="9">
      <t>ガイヨウ</t>
    </rPh>
    <phoneticPr fontId="12"/>
  </si>
  <si>
    <t>　令和２年度のふるさと納税の受入額の実績について記入してください。
※受領した寄附金の名目に関わらず、地方団体として受領した個人からの寄附金を計上してください。（いわゆる「義援金」により個人から受け入れた寄附金額についても、対象となります。）
※令和２年度決算見込額の数値を記入してください。
※④代理受入には、他の地方団体の個々の寄附の受入に要する事務負担を軽減するため、受入額を当該他の地方団体に全額交付することを前提に募り受け入れたものを記入してください。</t>
    <rPh sb="1" eb="3">
      <t>レイワ</t>
    </rPh>
    <rPh sb="123" eb="125">
      <t>レイワ</t>
    </rPh>
    <rPh sb="222" eb="224">
      <t>キニュウ</t>
    </rPh>
    <phoneticPr fontId="49"/>
  </si>
  <si>
    <t>①　令和２年度に受け入れた寄附件数、金額</t>
    <rPh sb="2" eb="4">
      <t>レイワ</t>
    </rPh>
    <rPh sb="5" eb="7">
      <t>ネンド</t>
    </rPh>
    <phoneticPr fontId="12"/>
  </si>
  <si>
    <t>　令和２年度及び令和３年度のふるさと納税の募集に要した費用を記入してください。
※令和２年度は決算見込額を、令和３年度は当初予算額をそれぞれ記入してください。　　
※下記の項目に沿って記入してください。なお、一括で事業者と契約している場合など、それぞれの区分の金額が分からない場合は、事業者に内訳を確認の上、それぞれ区分して記入してください。</t>
    <rPh sb="1" eb="3">
      <t>レイワ</t>
    </rPh>
    <rPh sb="41" eb="43">
      <t>レイワ</t>
    </rPh>
    <phoneticPr fontId="12"/>
  </si>
  <si>
    <t xml:space="preserve">令和２年度 </t>
    <rPh sb="0" eb="2">
      <t>レイワ</t>
    </rPh>
    <rPh sb="3" eb="5">
      <t>ネンド</t>
    </rPh>
    <phoneticPr fontId="12"/>
  </si>
  <si>
    <t>令和２年度の
受入額に占める
費用の割合</t>
    <rPh sb="0" eb="2">
      <t>レイワ</t>
    </rPh>
    <rPh sb="3" eb="5">
      <t>ネンド</t>
    </rPh>
    <rPh sb="15" eb="17">
      <t>ヒヨウ</t>
    </rPh>
    <rPh sb="18" eb="20">
      <t>ワリアイ</t>
    </rPh>
    <phoneticPr fontId="12"/>
  </si>
  <si>
    <t>令和３年度</t>
    <phoneticPr fontId="12"/>
  </si>
  <si>
    <t>２． １で①と回答した場合、選択できる範囲について該当するものを選択してください（複数回答可）。</t>
    <phoneticPr fontId="12"/>
  </si>
  <si>
    <t>３． ２で①と回答した場合、使途として選択できる分野を下記から選択してください（複数回答可）。その他と回答する場合は、使途として選択できる分野を記入してください。</t>
    <rPh sb="31" eb="33">
      <t>センタク</t>
    </rPh>
    <rPh sb="49" eb="50">
      <t>タ</t>
    </rPh>
    <rPh sb="51" eb="53">
      <t>カイトウ</t>
    </rPh>
    <rPh sb="55" eb="57">
      <t>バアイ</t>
    </rPh>
    <phoneticPr fontId="12"/>
  </si>
  <si>
    <t>４． ２で②と回答した場合、クラウドファンディング型のふるさと納税を実施していますか。
※「クラウドファンディング型のふるさと納税」とは、目標金額、募集期間等を定め、特定の事業にふるさと納税を募るもの。</t>
    <phoneticPr fontId="12"/>
  </si>
  <si>
    <t>　  ①　実施している</t>
    <rPh sb="5" eb="7">
      <t>ジッシ</t>
    </rPh>
    <phoneticPr fontId="12"/>
  </si>
  <si>
    <t>　　②　実施していない</t>
    <rPh sb="4" eb="6">
      <t>ジッシ</t>
    </rPh>
    <phoneticPr fontId="12"/>
  </si>
  <si>
    <t>５． ４で①と回答した場合、令和２年度において、クラウドファンディング型のふるさと納税として実施したプロジェクトについて、そのプロジェクト名（ふるさと納税ポータルサイト上に表示されるプロジェクト名を記載）及びプロジェクトの概要、返礼品の提供の有無、該当する分野、目標とする寄附金額、寄附金額の実績について記入してください。</t>
    <rPh sb="14" eb="16">
      <t>レイワ</t>
    </rPh>
    <rPh sb="35" eb="36">
      <t>ガタ</t>
    </rPh>
    <rPh sb="41" eb="43">
      <t>ノウゼイ</t>
    </rPh>
    <rPh sb="46" eb="48">
      <t>ジッシ</t>
    </rPh>
    <rPh sb="69" eb="70">
      <t>メイ</t>
    </rPh>
    <rPh sb="75" eb="77">
      <t>ノウゼイ</t>
    </rPh>
    <rPh sb="84" eb="85">
      <t>ジョウ</t>
    </rPh>
    <rPh sb="86" eb="88">
      <t>ヒョウジ</t>
    </rPh>
    <rPh sb="97" eb="98">
      <t>メイ</t>
    </rPh>
    <rPh sb="99" eb="101">
      <t>キサイ</t>
    </rPh>
    <rPh sb="102" eb="103">
      <t>オヨ</t>
    </rPh>
    <rPh sb="111" eb="113">
      <t>ガイヨウ</t>
    </rPh>
    <rPh sb="114" eb="117">
      <t>ヘンレイヒン</t>
    </rPh>
    <rPh sb="118" eb="120">
      <t>テイキョウ</t>
    </rPh>
    <rPh sb="121" eb="123">
      <t>ウム</t>
    </rPh>
    <rPh sb="124" eb="126">
      <t>ガイトウ</t>
    </rPh>
    <rPh sb="128" eb="130">
      <t>ブンヤ</t>
    </rPh>
    <rPh sb="131" eb="133">
      <t>モクヒョウ</t>
    </rPh>
    <rPh sb="136" eb="139">
      <t>キフキン</t>
    </rPh>
    <rPh sb="139" eb="140">
      <t>ガク</t>
    </rPh>
    <rPh sb="141" eb="145">
      <t>キフキンガク</t>
    </rPh>
    <rPh sb="146" eb="148">
      <t>ジッセキ</t>
    </rPh>
    <rPh sb="152" eb="154">
      <t>キニュウ</t>
    </rPh>
    <phoneticPr fontId="12"/>
  </si>
  <si>
    <t>※令和２年度中に募集を開始したプロジェクト事業について達成率（寄附金額の受入実績額／目標とする寄附金額）が高い順に上位３位まで記入してください。
※「該当する分野」については、上記３に記載の分野（①～⑪）で該当するものを記入してください。</t>
    <rPh sb="1" eb="3">
      <t>レイワ</t>
    </rPh>
    <rPh sb="4" eb="6">
      <t>ネンド</t>
    </rPh>
    <rPh sb="6" eb="7">
      <t>チュウ</t>
    </rPh>
    <rPh sb="8" eb="10">
      <t>ボシュウ</t>
    </rPh>
    <rPh sb="11" eb="13">
      <t>カイシ</t>
    </rPh>
    <rPh sb="21" eb="23">
      <t>ジギョウ</t>
    </rPh>
    <rPh sb="27" eb="30">
      <t>タッセイリツ</t>
    </rPh>
    <rPh sb="31" eb="33">
      <t>キフ</t>
    </rPh>
    <rPh sb="33" eb="35">
      <t>キンガク</t>
    </rPh>
    <rPh sb="36" eb="37">
      <t>ウ</t>
    </rPh>
    <rPh sb="37" eb="38">
      <t>イ</t>
    </rPh>
    <rPh sb="38" eb="40">
      <t>ジッセキ</t>
    </rPh>
    <rPh sb="40" eb="41">
      <t>ガク</t>
    </rPh>
    <rPh sb="42" eb="44">
      <t>モクヒョウ</t>
    </rPh>
    <rPh sb="47" eb="49">
      <t>キフ</t>
    </rPh>
    <rPh sb="49" eb="51">
      <t>キンガク</t>
    </rPh>
    <rPh sb="53" eb="54">
      <t>タカ</t>
    </rPh>
    <rPh sb="55" eb="56">
      <t>ジュン</t>
    </rPh>
    <rPh sb="57" eb="59">
      <t>ジョウイ</t>
    </rPh>
    <rPh sb="60" eb="61">
      <t>イ</t>
    </rPh>
    <rPh sb="63" eb="65">
      <t>キニュウ</t>
    </rPh>
    <phoneticPr fontId="12"/>
  </si>
  <si>
    <t>返礼品の提供の有無</t>
    <rPh sb="0" eb="3">
      <t>ヘンレイヒン</t>
    </rPh>
    <rPh sb="4" eb="6">
      <t>テイキョウ</t>
    </rPh>
    <rPh sb="7" eb="9">
      <t>ウム</t>
    </rPh>
    <phoneticPr fontId="12"/>
  </si>
  <si>
    <t>寄附金額の受入実績
　（令和２年度末時点）（円）</t>
    <rPh sb="5" eb="6">
      <t>ウ</t>
    </rPh>
    <rPh sb="6" eb="7">
      <t>イ</t>
    </rPh>
    <rPh sb="12" eb="14">
      <t>レイワ</t>
    </rPh>
    <rPh sb="15" eb="18">
      <t>ネンドマツ</t>
    </rPh>
    <phoneticPr fontId="12"/>
  </si>
  <si>
    <t>１．ふるさと納税を財源として実施した事業（令和２年度実施事業）について、ふるさと納税の充当額が多い事業（多い順に３事業）の分野を選択してください（複数回答可）。その他と回答する場合は、その事業分野を記入してください。　　　　　　　　　　　　　　　　　　　　　　　　　　　　　</t>
    <rPh sb="21" eb="23">
      <t>レイワ</t>
    </rPh>
    <phoneticPr fontId="12"/>
  </si>
  <si>
    <t>令和２年度</t>
    <rPh sb="0" eb="2">
      <t>レイワ</t>
    </rPh>
    <rPh sb="3" eb="5">
      <t>ネンド</t>
    </rPh>
    <phoneticPr fontId="12"/>
  </si>
  <si>
    <t>２． １で実施した事業がどのような効果を生んでいますか（期待していますか）。主な効果について、下記の中から１つ選択の上、具体的内容を記入してください。</t>
    <phoneticPr fontId="12"/>
  </si>
  <si>
    <t>４. ３で○と回答していない項目について、公表又は報告をしていない理由及び公表又は報告の開始予定などを記入してください。
　（３で全て○とした場合は回答不要）</t>
    <phoneticPr fontId="12"/>
  </si>
  <si>
    <t>６. ５で①と回答した場合、その具体的な取組内容について記入してください。</t>
    <phoneticPr fontId="12"/>
  </si>
  <si>
    <t>１．返礼品等の提供の状況について、該当するものを選択してください。</t>
    <rPh sb="5" eb="6">
      <t>トウ</t>
    </rPh>
    <rPh sb="7" eb="9">
      <t>テイキョウ</t>
    </rPh>
    <rPh sb="10" eb="12">
      <t>ジョウキョウ</t>
    </rPh>
    <phoneticPr fontId="12"/>
  </si>
  <si>
    <r>
      <t>２．返礼品等の詳細</t>
    </r>
    <r>
      <rPr>
        <sz val="14"/>
        <rFont val="ＭＳ Ｐ明朝"/>
        <family val="1"/>
        <charset val="128"/>
      </rPr>
      <t>（個別の品目名や調達費用等、返礼品提供事業者と地方団体の個別の契約内容に係る情報については、対外的に公表することはありません。）</t>
    </r>
    <rPh sb="2" eb="4">
      <t>ヘンレイ</t>
    </rPh>
    <rPh sb="4" eb="5">
      <t>ヒン</t>
    </rPh>
    <rPh sb="5" eb="6">
      <t>トウ</t>
    </rPh>
    <rPh sb="7" eb="9">
      <t>ショウサイ</t>
    </rPh>
    <phoneticPr fontId="12"/>
  </si>
  <si>
    <t>(１)令和２年度における寄附に対する返礼品等について、受入額上位５品目を受入額順に記入してください。
(２)「返礼品等取扱期間」欄は、当該返礼品等について、取扱開始年月日及び取扱終了（予定）年月日を記入してください。
(３)「必要寄附金額」欄は、当該返礼品等に対する一口分の寄附額を記入し、「調達費用」欄は、当該返礼品等の調達に要した費用を記入してください。
(４)「地場産品の確認」欄は、地方税法第37条の２第２項第２号及び第314条の７第２項第２号に掲げる地場産品基準に基づき「地場産品」又は「地場産品以外」を選択してください。なお、「地場産品」を選択した場合は、地場産品基準に係る該当号を記載したうえで、その理由を記入してください。</t>
    <rPh sb="3" eb="5">
      <t>レイワ</t>
    </rPh>
    <rPh sb="12" eb="14">
      <t>キフ</t>
    </rPh>
    <rPh sb="15" eb="16">
      <t>タイ</t>
    </rPh>
    <rPh sb="18" eb="20">
      <t>ヘンレイ</t>
    </rPh>
    <rPh sb="20" eb="21">
      <t>ヒン</t>
    </rPh>
    <rPh sb="21" eb="22">
      <t>トウ</t>
    </rPh>
    <rPh sb="30" eb="32">
      <t>ジョウイ</t>
    </rPh>
    <rPh sb="33" eb="35">
      <t>ヒンモク</t>
    </rPh>
    <rPh sb="36" eb="38">
      <t>ウケイレ</t>
    </rPh>
    <rPh sb="38" eb="39">
      <t>ガク</t>
    </rPh>
    <rPh sb="73" eb="74">
      <t>トウ</t>
    </rPh>
    <rPh sb="100" eb="102">
      <t>キニュウ</t>
    </rPh>
    <rPh sb="143" eb="145">
      <t>キニュウ</t>
    </rPh>
    <rPh sb="172" eb="174">
      <t>キニュウ</t>
    </rPh>
    <rPh sb="287" eb="291">
      <t>ジバサンピン</t>
    </rPh>
    <rPh sb="291" eb="293">
      <t>キジュン</t>
    </rPh>
    <rPh sb="294" eb="295">
      <t>カカ</t>
    </rPh>
    <rPh sb="296" eb="298">
      <t>ガイトウ</t>
    </rPh>
    <rPh sb="298" eb="299">
      <t>ゴウ</t>
    </rPh>
    <rPh sb="313" eb="315">
      <t>キニュウ</t>
    </rPh>
    <phoneticPr fontId="12"/>
  </si>
  <si>
    <t>令和２年度における
当該返礼品等に対する寄附総額（円）　（a）</t>
    <rPh sb="10" eb="12">
      <t>トウガイ</t>
    </rPh>
    <rPh sb="12" eb="14">
      <t>ヘンレイ</t>
    </rPh>
    <rPh sb="14" eb="15">
      <t>ヒン</t>
    </rPh>
    <rPh sb="15" eb="16">
      <t>トウ</t>
    </rPh>
    <rPh sb="17" eb="18">
      <t>タイ</t>
    </rPh>
    <rPh sb="20" eb="22">
      <t>キフ</t>
    </rPh>
    <rPh sb="22" eb="24">
      <t>ソウガク</t>
    </rPh>
    <rPh sb="25" eb="26">
      <t>エン</t>
    </rPh>
    <phoneticPr fontId="12"/>
  </si>
  <si>
    <r>
      <t>地場産品基準</t>
    </r>
    <r>
      <rPr>
        <sz val="12"/>
        <rFont val="ＭＳ Ｐゴシック"/>
        <family val="3"/>
        <charset val="128"/>
        <scheme val="minor"/>
      </rPr>
      <t>に係る該当</t>
    </r>
    <r>
      <rPr>
        <sz val="12"/>
        <rFont val="ＭＳ Ｐゴシック"/>
        <family val="3"/>
        <charset val="128"/>
        <scheme val="minor"/>
      </rPr>
      <t>号</t>
    </r>
    <rPh sb="0" eb="2">
      <t>ジバ</t>
    </rPh>
    <rPh sb="2" eb="4">
      <t>サンピン</t>
    </rPh>
    <rPh sb="4" eb="6">
      <t>キジュン</t>
    </rPh>
    <rPh sb="7" eb="8">
      <t>カカ</t>
    </rPh>
    <rPh sb="9" eb="11">
      <t>ガイトウ</t>
    </rPh>
    <rPh sb="11" eb="12">
      <t>ゴウ</t>
    </rPh>
    <phoneticPr fontId="12"/>
  </si>
  <si>
    <r>
      <t>上記</t>
    </r>
    <r>
      <rPr>
        <sz val="12"/>
        <rFont val="ＭＳ Ｐゴシック"/>
        <family val="3"/>
        <charset val="128"/>
        <scheme val="minor"/>
      </rPr>
      <t>に該当する理由</t>
    </r>
    <rPh sb="0" eb="2">
      <t>ジョウキ</t>
    </rPh>
    <rPh sb="3" eb="5">
      <t>ガイトウ</t>
    </rPh>
    <rPh sb="7" eb="9">
      <t>リユウ</t>
    </rPh>
    <phoneticPr fontId="12"/>
  </si>
  <si>
    <t>３．令和２年度における返礼品等のうち、地場産品基準第８号に該当する返礼品について、受入額及び受入額上位５品目を受入額順に記入してください。</t>
    <rPh sb="2" eb="4">
      <t>レイワ</t>
    </rPh>
    <rPh sb="5" eb="7">
      <t>ネンド</t>
    </rPh>
    <rPh sb="11" eb="14">
      <t>ヘンレイヒン</t>
    </rPh>
    <rPh sb="14" eb="15">
      <t>トウ</t>
    </rPh>
    <rPh sb="19" eb="23">
      <t>ジバサンピン</t>
    </rPh>
    <rPh sb="23" eb="25">
      <t>キジュン</t>
    </rPh>
    <rPh sb="25" eb="26">
      <t>ダイ</t>
    </rPh>
    <rPh sb="27" eb="28">
      <t>ゴウ</t>
    </rPh>
    <rPh sb="29" eb="31">
      <t>ガイトウ</t>
    </rPh>
    <rPh sb="33" eb="35">
      <t>ヘンレイ</t>
    </rPh>
    <rPh sb="35" eb="36">
      <t>ヒン</t>
    </rPh>
    <rPh sb="36" eb="37">
      <t>ヘンピン</t>
    </rPh>
    <rPh sb="41" eb="43">
      <t>ウケイレ</t>
    </rPh>
    <rPh sb="43" eb="44">
      <t>ガク</t>
    </rPh>
    <rPh sb="44" eb="45">
      <t>オヨ</t>
    </rPh>
    <rPh sb="46" eb="48">
      <t>ウケイレ</t>
    </rPh>
    <rPh sb="48" eb="49">
      <t>ガク</t>
    </rPh>
    <rPh sb="49" eb="51">
      <t>ジョウイ</t>
    </rPh>
    <rPh sb="52" eb="53">
      <t>ヒン</t>
    </rPh>
    <rPh sb="53" eb="54">
      <t>モク</t>
    </rPh>
    <rPh sb="55" eb="57">
      <t>ウケイレ</t>
    </rPh>
    <rPh sb="57" eb="58">
      <t>ガク</t>
    </rPh>
    <rPh sb="58" eb="59">
      <t>ジュン</t>
    </rPh>
    <rPh sb="60" eb="62">
      <t>キニュウ</t>
    </rPh>
    <phoneticPr fontId="12"/>
  </si>
  <si>
    <t>（１）地場産品基準第８号－イに該当する受入額及び受入額上位５品目を受入額順に記入してください。</t>
    <rPh sb="3" eb="5">
      <t>ジバ</t>
    </rPh>
    <rPh sb="5" eb="7">
      <t>サンピン</t>
    </rPh>
    <rPh sb="7" eb="9">
      <t>キジュン</t>
    </rPh>
    <rPh sb="9" eb="10">
      <t>ダイ</t>
    </rPh>
    <rPh sb="11" eb="12">
      <t>ゴウ</t>
    </rPh>
    <rPh sb="15" eb="17">
      <t>ガイトウ</t>
    </rPh>
    <rPh sb="19" eb="22">
      <t>ウケイレガク</t>
    </rPh>
    <rPh sb="22" eb="23">
      <t>オヨ</t>
    </rPh>
    <rPh sb="24" eb="26">
      <t>ウケイレ</t>
    </rPh>
    <phoneticPr fontId="12"/>
  </si>
  <si>
    <t>地場産品基準第８号―イに係る
受入総額</t>
    <rPh sb="0" eb="6">
      <t>ジバサンピンキジュン</t>
    </rPh>
    <rPh sb="6" eb="7">
      <t>ダイ</t>
    </rPh>
    <rPh sb="8" eb="9">
      <t>ゴウ</t>
    </rPh>
    <rPh sb="12" eb="13">
      <t>カカ</t>
    </rPh>
    <rPh sb="15" eb="17">
      <t>ウケイレ</t>
    </rPh>
    <rPh sb="17" eb="19">
      <t>ソウガク</t>
    </rPh>
    <phoneticPr fontId="12"/>
  </si>
  <si>
    <t>令和２年度の全体の受入額に占める左記の割合</t>
    <rPh sb="0" eb="2">
      <t>レイワ</t>
    </rPh>
    <rPh sb="3" eb="5">
      <t>ネンド</t>
    </rPh>
    <rPh sb="4" eb="5">
      <t>ド</t>
    </rPh>
    <rPh sb="6" eb="8">
      <t>ゼンタイ</t>
    </rPh>
    <rPh sb="9" eb="11">
      <t>ウケイレ</t>
    </rPh>
    <rPh sb="11" eb="12">
      <t>ガク</t>
    </rPh>
    <rPh sb="13" eb="14">
      <t>シ</t>
    </rPh>
    <rPh sb="16" eb="18">
      <t>サキ</t>
    </rPh>
    <rPh sb="19" eb="21">
      <t>ワリアイ</t>
    </rPh>
    <phoneticPr fontId="12"/>
  </si>
  <si>
    <t>（２）地場産品基準第８号－ロに該当する受入額及び受入額上位５品目を受入額順に記入してください。</t>
    <rPh sb="7" eb="9">
      <t>キジュン</t>
    </rPh>
    <rPh sb="9" eb="10">
      <t>ダイ</t>
    </rPh>
    <rPh sb="11" eb="12">
      <t>ゴウ</t>
    </rPh>
    <phoneticPr fontId="12"/>
  </si>
  <si>
    <t>地場産品基準第８号―ロに係る
受入総額</t>
    <rPh sb="0" eb="6">
      <t>ジバサンピンキジュン</t>
    </rPh>
    <rPh sb="6" eb="7">
      <t>ダイ</t>
    </rPh>
    <rPh sb="8" eb="9">
      <t>ゴウ</t>
    </rPh>
    <rPh sb="12" eb="13">
      <t>カカ</t>
    </rPh>
    <rPh sb="15" eb="17">
      <t>ウケイレ</t>
    </rPh>
    <rPh sb="17" eb="19">
      <t>ソウガク</t>
    </rPh>
    <phoneticPr fontId="12"/>
  </si>
  <si>
    <t>（３）地場産品基準第８号－ハに該当する受入額及び受入額上位５品目を受入額順に記入してください。</t>
    <rPh sb="7" eb="9">
      <t>キジュン</t>
    </rPh>
    <rPh sb="9" eb="10">
      <t>ダイ</t>
    </rPh>
    <rPh sb="11" eb="12">
      <t>ゴウ</t>
    </rPh>
    <phoneticPr fontId="12"/>
  </si>
  <si>
    <t>地場産品基準第８号―ハに係る
受入総額</t>
    <rPh sb="0" eb="6">
      <t>ジバサンピンキジュン</t>
    </rPh>
    <rPh sb="6" eb="7">
      <t>ダイ</t>
    </rPh>
    <rPh sb="8" eb="9">
      <t>ゴウ</t>
    </rPh>
    <rPh sb="12" eb="13">
      <t>カカ</t>
    </rPh>
    <rPh sb="15" eb="17">
      <t>ウケイレ</t>
    </rPh>
    <rPh sb="17" eb="19">
      <t>ソウガク</t>
    </rPh>
    <phoneticPr fontId="12"/>
  </si>
  <si>
    <t>①</t>
  </si>
  <si>
    <t>（上記でその他に金額を記入した場合）具体的な内容を記入してください。</t>
    <phoneticPr fontId="12"/>
  </si>
  <si>
    <t>２．１で①と回答した場合、選択できる範囲について該当するものを選択してください（複数回答可）。</t>
    <phoneticPr fontId="12"/>
  </si>
  <si>
    <t>金額</t>
    <phoneticPr fontId="12"/>
  </si>
  <si>
    <t>返礼品の提供の有無</t>
    <rPh sb="0" eb="2">
      <t>ヘンレイ</t>
    </rPh>
    <rPh sb="2" eb="3">
      <t>ヒン</t>
    </rPh>
    <rPh sb="4" eb="6">
      <t>テイキョウ</t>
    </rPh>
    <rPh sb="7" eb="9">
      <t>ウム</t>
    </rPh>
    <phoneticPr fontId="12"/>
  </si>
  <si>
    <t>（上記で④を選択した場合）対応を予定していない理由を記入してください。</t>
    <phoneticPr fontId="12"/>
  </si>
  <si>
    <t>全プロジェクトの寄附金額の受入実績</t>
    <phoneticPr fontId="12"/>
  </si>
  <si>
    <t>プロジェクト数</t>
    <rPh sb="6" eb="7">
      <t>スウ</t>
    </rPh>
    <phoneticPr fontId="12"/>
  </si>
  <si>
    <t>⑪　分野を指定しない</t>
    <phoneticPr fontId="12"/>
  </si>
  <si>
    <t>事業の概要</t>
    <rPh sb="0" eb="2">
      <t>ジギョウ</t>
    </rPh>
    <rPh sb="3" eb="5">
      <t>ガイヨウ</t>
    </rPh>
    <phoneticPr fontId="12"/>
  </si>
  <si>
    <t>３．寄附者と継続的な関係を構築するための取組を行っていますか。</t>
    <phoneticPr fontId="12"/>
  </si>
  <si>
    <t>⑫その他</t>
    <phoneticPr fontId="12"/>
  </si>
  <si>
    <t>１．ふるさと納税の受入額実績・活用状況等について、公表（ＨＰ等で不特定多数に知らせることをいう。）又は報告等を行っていますか。該当するものに○をしてください（複数回答可）。</t>
    <phoneticPr fontId="12"/>
  </si>
  <si>
    <t>＜Ⅰ.ふるさと納税の受入件数及び受入額の実績について＞</t>
    <rPh sb="12" eb="14">
      <t>ケンスウ</t>
    </rPh>
    <rPh sb="14" eb="15">
      <t>オヨ</t>
    </rPh>
    <rPh sb="16" eb="18">
      <t>ウケイレ</t>
    </rPh>
    <rPh sb="20" eb="22">
      <t>ジッセキ</t>
    </rPh>
    <phoneticPr fontId="12"/>
  </si>
  <si>
    <t>＜Ⅱ.ふるさと納税の募集に要する費用について＞</t>
    <phoneticPr fontId="12"/>
  </si>
  <si>
    <t>令和５年度のふるさと納税の受入額の実績について記入してください。</t>
    <rPh sb="3" eb="5">
      <t>ネンド</t>
    </rPh>
    <phoneticPr fontId="12"/>
  </si>
  <si>
    <t>令和5年度の受入額に占める費用</t>
    <rPh sb="3" eb="5">
      <t>ネンド</t>
    </rPh>
    <rPh sb="13" eb="15">
      <t>ヒヨウ</t>
    </rPh>
    <phoneticPr fontId="12"/>
  </si>
  <si>
    <t>令和5年度の受入額に占める費用の割合</t>
    <rPh sb="3" eb="5">
      <t>ネンド</t>
    </rPh>
    <rPh sb="13" eb="15">
      <t>ヒヨウ</t>
    </rPh>
    <rPh sb="16" eb="18">
      <t>ワリアイ</t>
    </rPh>
    <phoneticPr fontId="12"/>
  </si>
  <si>
    <t>（上記で②を選択した場合）選択できないようにしている理由及び今後選択できるようにする予定の有無を記入してください。また、昨年度は使途の選択ができ、今年度選択できないという場合にも理由を記載してください。</t>
    <phoneticPr fontId="12"/>
  </si>
  <si>
    <t>３． ２で①を「○（具体的な事業を選択可）」と回答した場合、使途として選択できる事業について、クラウドファンディング型のふるさと納税を実施していますか。実施している場合は、令和５年度中に募集を行ったクラウドファンディングのプロジェクトの数及び各プロジェクトの寄附金額の受入実績の合計額を記入してください。</t>
    <phoneticPr fontId="12"/>
  </si>
  <si>
    <t>４．２で②を「○（具体的な事業を選択可）」と回答した場合、令和５年度において、ふるさと納税で寄附金を募集した事業のうち、主な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の実績について記入してください。
２つ目</t>
    <rPh sb="166" eb="168">
      <t>ジッセキ</t>
    </rPh>
    <rPh sb="172" eb="174">
      <t>キニュウ</t>
    </rPh>
    <rPh sb="185" eb="186">
      <t>メ</t>
    </rPh>
    <phoneticPr fontId="12"/>
  </si>
  <si>
    <t>４．２で②を「○（具体的な事業を選択可）」と回答した場合、令和５年度において、ふるさと納税で寄附金を募集した事業のうち、主な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
３つ目</t>
    <rPh sb="169" eb="170">
      <t>メ</t>
    </rPh>
    <phoneticPr fontId="12"/>
  </si>
  <si>
    <t>５．２で②と回答した場合、使途として選択できる分野を下記から選択してください（複数回答可）。</t>
    <rPh sb="30" eb="32">
      <t>センタク</t>
    </rPh>
    <phoneticPr fontId="12"/>
  </si>
  <si>
    <t>６．２で②を「○（分野を選択可）」と回答した場合、ふるさと納税を財源として実施した事業（令和５年度実施事業）について、主なものを３つ記入してください。
１つ目</t>
    <rPh sb="79" eb="80">
      <t>メ</t>
    </rPh>
    <phoneticPr fontId="12"/>
  </si>
  <si>
    <t>６．２で②を「○（分野を選択可）」と回答した場合、ふるさと納税を財源として実施した事業（令和５年度実施事業）について、主なものを３つ記入してください。
２つ目</t>
    <rPh sb="79" eb="80">
      <t>メ</t>
    </rPh>
    <phoneticPr fontId="12"/>
  </si>
  <si>
    <t>６．２で②を「○（分野を選択可）」と回答した場合、ふるさと納税を財源として実施した事業（令和５年度実施事業）について、主なものを３つ記入してください。
３つ目</t>
    <rPh sb="79" eb="80">
      <t>メ</t>
    </rPh>
    <phoneticPr fontId="12"/>
  </si>
  <si>
    <t>２.３で○と回答していない項目について、公表又は報告をしていない理由及び公表又は報告の開始予定などを記入してください。
　（３で全て○とした場合は回答不要）</t>
    <phoneticPr fontId="12"/>
  </si>
  <si>
    <t>４.５で①と回答した場合その具体的な取組内容について記入してください。</t>
    <phoneticPr fontId="12"/>
  </si>
  <si>
    <t>返礼品等の調達に係る割合</t>
    <rPh sb="3" eb="4">
      <t>トウ</t>
    </rPh>
    <rPh sb="10" eb="12">
      <t>ワリアイ</t>
    </rPh>
    <phoneticPr fontId="12"/>
  </si>
  <si>
    <t>返礼品等の送付に係る割合</t>
    <rPh sb="3" eb="4">
      <t>トウ</t>
    </rPh>
    <rPh sb="10" eb="12">
      <t>ワリアイ</t>
    </rPh>
    <phoneticPr fontId="12"/>
  </si>
  <si>
    <t>広報に係る割合</t>
    <rPh sb="5" eb="7">
      <t>ワリアイ</t>
    </rPh>
    <phoneticPr fontId="12"/>
  </si>
  <si>
    <t>決済等に係る割合</t>
    <rPh sb="6" eb="8">
      <t>ワリアイ</t>
    </rPh>
    <phoneticPr fontId="12"/>
  </si>
  <si>
    <t>事務に係る割合</t>
    <rPh sb="5" eb="7">
      <t>ワリアイ</t>
    </rPh>
    <phoneticPr fontId="12"/>
  </si>
  <si>
    <t>①具体的な事業を選択</t>
    <phoneticPr fontId="12"/>
  </si>
  <si>
    <t>②分野を選択</t>
    <rPh sb="1" eb="3">
      <t>ブンヤ</t>
    </rPh>
    <rPh sb="4" eb="6">
      <t>センタク</t>
    </rPh>
    <phoneticPr fontId="12"/>
  </si>
  <si>
    <t>寄附金額の実績
（令和５年度末時点）（円）</t>
    <phoneticPr fontId="12"/>
  </si>
  <si>
    <t>令和５年度の充当金額（円）</t>
    <phoneticPr fontId="12"/>
  </si>
  <si>
    <t>①　令和5年度に受け入れた
寄附件数、金額</t>
    <rPh sb="5" eb="7">
      <t>ネンド</t>
    </rPh>
    <phoneticPr fontId="12"/>
  </si>
  <si>
    <t>４．２で①を「○（具体的な事業を選択可）」と回答した場合、令和５年度において、ふるさと納税で寄附金を募集した事業のうち、主な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
１つ目</t>
    <rPh sb="169" eb="170">
      <t>メ</t>
    </rPh>
    <phoneticPr fontId="12"/>
  </si>
  <si>
    <t>○</t>
  </si>
  <si>
    <t/>
  </si>
  <si>
    <t>無</t>
  </si>
  <si>
    <t>④</t>
  </si>
  <si>
    <t>有</t>
  </si>
  <si>
    <t>⑤</t>
  </si>
  <si>
    <t>⑧</t>
  </si>
  <si>
    <t>②</t>
  </si>
  <si>
    <t>③</t>
  </si>
  <si>
    <t>⑫</t>
  </si>
  <si>
    <t>⑥</t>
  </si>
  <si>
    <t>中学生海外交流事業</t>
  </si>
  <si>
    <t>⑦</t>
  </si>
  <si>
    <t>⑪</t>
  </si>
  <si>
    <t>学校給食事業</t>
  </si>
  <si>
    <t>子ども医療費助成事業</t>
  </si>
  <si>
    <t>⑨</t>
  </si>
  <si>
    <t>学校給食費無償化事業</t>
  </si>
  <si>
    <t>英語教育推進事業</t>
  </si>
  <si>
    <t>予防接種事業</t>
  </si>
  <si>
    <t>小学校施設整備事業</t>
  </si>
  <si>
    <t>福祉タクシー事業</t>
  </si>
  <si>
    <t>緑地保全事業</t>
  </si>
  <si>
    <t>千葉県県立学校チャレンジ応援基金</t>
  </si>
  <si>
    <t>県民・企業などからの寄附金を活用し、県立学校における特色ある教育活動を推進する</t>
  </si>
  <si>
    <t>令和5年度実績については、令和6年度中に公表予定</t>
  </si>
  <si>
    <t>ZOZOマリンスタジアムの充実（1,042件、24,287,540円）、動物愛護（1,013件、16,185,000円）、区役所の防災・防犯等の独自事業（3件、32,000円）、ウクライナ支援（34件、684,000円）、図書館（1件、1,000,000円）</t>
  </si>
  <si>
    <t>千葉市大学応援寄附金</t>
  </si>
  <si>
    <t>学術・文化等の向上・発展、活力あるまちづくりを推進するため、千葉市と連携協定を締結した市内外の大学および短期大学に対して、ふるさと納税を活用した支援を行うことができる制度。</t>
  </si>
  <si>
    <t>千葉市まちづくり応援寄附金</t>
  </si>
  <si>
    <t>まちづくり活動を行う市民活動団体を支援するため、団体を募集した後、審査・登録を経て、市のHP等で団体一覧を公開し、寄附を募集する。
寄附者は、市民活動団体を指定してふるさと納税し、市はその寄附金を当該団体へ交付する。</t>
  </si>
  <si>
    <t>ZOZOマリンスタジアムの充実</t>
  </si>
  <si>
    <t>ZOZOマリンスタジアムの施設修繕（人工芝賃借料・夜間照明施設賃借料・人工芝買戻等）</t>
  </si>
  <si>
    <t>寄附情報管理システム保守経費</t>
  </si>
  <si>
    <t>・元気創造（⑦⑧　4,832件／67,784,500円）
・やさしいまちづくり推進事業（③④⑨　11,017件／142,176,000円）
・ひとづくり応援（①②⑤　5,714件／73,468,000円）
・コロナ対策（⑩　７件／122,000円）
・銚子電鉄（⑫　6,784件／96,017,000円）</t>
  </si>
  <si>
    <t>銚子市軌道安全輸送設備等整備事業</t>
  </si>
  <si>
    <t>銚子電気鉄道の運行維持のため補助を行うもの。</t>
  </si>
  <si>
    <t>観光パスポート事業</t>
  </si>
  <si>
    <t>LINEを活用して観光情報やマップ、最新のイベントやお得なクーポンの情報を発信するもの。</t>
  </si>
  <si>
    <t>みなとまつり関係事業</t>
  </si>
  <si>
    <t>銚子市で最大の観光イベント「銚子みなとまつり」を開催するもの。</t>
  </si>
  <si>
    <t>情報管理担当課から許可がおりない為</t>
  </si>
  <si>
    <t>こどもたちの未来支援基金事業</t>
  </si>
  <si>
    <t>次代を担うこどもたちの健やかな成長等を促進する事業を進めるため、こどもたちの未来支援基金への積立を行ったもの。</t>
  </si>
  <si>
    <t>福祉基金事業</t>
  </si>
  <si>
    <t>高齢者、障害のあるもの等の福祉の増進を図るため、福祉基金への積立を行ったもの。</t>
  </si>
  <si>
    <t>猫不妊手術費等助成事業</t>
  </si>
  <si>
    <t>飼い主のいない猫の愛護、管理及び共生に関する事業を進めるため、市川市犬猫いのちの基金への積立及び事業費へ充当したもの。</t>
  </si>
  <si>
    <t>　事業を特定された寄附に対しては、使途状況等を個別にお知らせすることがあるものの、ふるさと納税の大半は、使途を限定しない一般寄附として寄附を頂いているものであるため特段公表を行っていない。</t>
  </si>
  <si>
    <t>ふなばしアンデルセン公園　風車改修プロジェクト　～あなたの想いが風になる～</t>
  </si>
  <si>
    <t>ふなばしアンデルセン公園の風車の老朽化から、その改修工事に係る材料費や製作費等に充当するもの。</t>
  </si>
  <si>
    <t>新型コロナウイルス感染症対策、ウクライナ人道支援寄附、アンデルセン公園風車改修に係るクラウドファンディング。
なお、①～⑩いずれの分野も使途の対象ですが、この内訳に合う形で受け入れを行っていないため、代表的な項目にまとめて計上しました。</t>
  </si>
  <si>
    <t>令和５年度の財源を充当する事業について確定していないため、記載することができません。
一般財源として扱っているものの、ふるさと納税を募集する際には使途を選択できるようにしています。</t>
  </si>
  <si>
    <t>寄附金を充当する事業が多く、進捗状況等を取りまとめるにあたり手間が掛かるため、受入額、事業内容等の公表に留めており、報告を開始する予定はありません。</t>
  </si>
  <si>
    <t>マスコットキャラクター</t>
  </si>
  <si>
    <t>英語指導講師業務委託費</t>
  </si>
  <si>
    <t>民間委託による英語指導講師小中学校に配置し、児童生徒の英語力向上に加え、教員側の指導力向上及び負担軽減を図った。</t>
  </si>
  <si>
    <t>子ども医療費助成金</t>
  </si>
  <si>
    <t>子どもの健康増進や保護者の経済的負担軽減を図るため、子どもの保険診療に係る患者負担額に対し助成を実施した。</t>
  </si>
  <si>
    <t>花のまちづくり事業</t>
  </si>
  <si>
    <t>市内各所にある花壇の植栽や、ガーデニングコンテストの実施等を通じ、市民や来訪者に「花のまち館山」を感じてもらう取組を推進した。</t>
  </si>
  <si>
    <t>③を実施していない理由：人員と業務量を勘案し、寄附者に対する事業の進捗状況・成果報告を公表により対応することとしたため。</t>
  </si>
  <si>
    <t>パークベイプロジェクト推進事業費（富士見通り歩道改良）</t>
  </si>
  <si>
    <t>木更津駅前通り（富士見通り）の無電柱化、歩道のバリアフリー化、植樹帯の整備</t>
  </si>
  <si>
    <t>子ども医療費助成事業費</t>
  </si>
  <si>
    <t>子どもの保健対策の充実、保護者の経済的負担の軽減に向けた医療費の助成</t>
  </si>
  <si>
    <t>広域連携観光誘客事業負担金</t>
  </si>
  <si>
    <t>食・アート・音楽・自然・サステナビリティを生かした広域的な芸術祭（１００年後芸術祭）開催に係る負担金</t>
  </si>
  <si>
    <t>寄付者に対しての進捗状況・成果の報告方法を検討</t>
  </si>
  <si>
    <t>郵送料、事務消耗品費、代理寄附受入分の送金額</t>
  </si>
  <si>
    <t>ウクライナ人道支援</t>
  </si>
  <si>
    <t>寄附金を一般財源として扱っているため未入力</t>
  </si>
  <si>
    <t>オンライン対応の費用を募集費用に含むと寄附額に対し5割を超える可能性があるため。また、サイト毎にワンストップ特例申請を管理することが煩雑なため。</t>
  </si>
  <si>
    <t>生物多様性自然再生事業費</t>
  </si>
  <si>
    <t>多くの生き物が生息できる豊かな自然環境の保全や再生を目的として、生物多様性のシンボルとしてコウノトリの飼育を実施。</t>
  </si>
  <si>
    <t>自然環境保護推進費</t>
  </si>
  <si>
    <t>緑化活動等の自然環境保全のための取組を積極的に進めるため、みどりのふるさとづくり実行委員会等による市内で開催されるイベントでの苗木等配布活動や、公共施設等への拠点植樹を実施。</t>
  </si>
  <si>
    <t>ふるさと花づくり運動推進費</t>
  </si>
  <si>
    <t>春季と秋季に分けて各参加団体に種子や花苗等を配布し、花づくりを行ってもらうことで、緑豊かな地域環境づくりと街並みの美化を図る。</t>
  </si>
  <si>
    <t>市が設けている分野外の指定寄附
指定の保育所の備品等購入　　1件　10,000円　／　高齢者福祉のため　　1件　10,000円　／
指定の中学校のクラブ活動費　　1件　120,000円</t>
  </si>
  <si>
    <t>小学校管理補修費</t>
  </si>
  <si>
    <t>市内各小学校の修繕を行うもの</t>
  </si>
  <si>
    <t>中学校管理補修費</t>
  </si>
  <si>
    <t>市内各中学校の修繕を行うもの</t>
  </si>
  <si>
    <t>施設維持管理費</t>
  </si>
  <si>
    <t>文化ホールの整備や修繕を行うもの</t>
  </si>
  <si>
    <t>③寄附者の増加により、各寄附者への報告が困難であるため</t>
  </si>
  <si>
    <t>空港活用・国際交流・市制70周年記念事業</t>
  </si>
  <si>
    <t>保育園運営事業</t>
  </si>
  <si>
    <t>共働き世帯の増加等、年々増加傾向にある保育需要に対応するため、児童福祉法及び子ども・子育て支援法に基づき、保育を必要とする乳幼児の健全な育成を図るため、全13園の公立保育園を運営する。</t>
  </si>
  <si>
    <t>本市に居住する中学校3年生までの医療費（保険診療分）を助成する。</t>
  </si>
  <si>
    <t>成田ブランド推進戦略事業</t>
  </si>
  <si>
    <t>県内及び首都圏住民、訪日外国人旅行者、LCC国内旅行者、圏央道利用者などをターゲットに、空港・成田への来訪・誘客を図るため、「運気上昇のまち　成田」というコンセプトに基づき、「成田市観光基本戦略」に沿った施策、計画事業を推進する。</t>
  </si>
  <si>
    <t>寄附者に対し、寄附金の活用状況を報告し、継続的な寄附のお願いを行っている（郵送及びメール）。</t>
  </si>
  <si>
    <t>―</t>
  </si>
  <si>
    <t>平和に関する事業、ウクライナ緊急支援寄附</t>
  </si>
  <si>
    <t>給食施設整備事業</t>
  </si>
  <si>
    <t>小学校、中学校の給食施設の整備に関する事業</t>
  </si>
  <si>
    <t>佐倉草ぶえの丘整備事業</t>
  </si>
  <si>
    <t>佐倉草ぶえの丘の整備に関する事業</t>
  </si>
  <si>
    <t>健康危機対策事業</t>
  </si>
  <si>
    <t>新型コロナウイルス感染症対策に関する事業</t>
  </si>
  <si>
    <t>寄附者への個別の報告については事務量や予算の関係上実施が難しい。活用状況についてはホームページで公表しているため、十分だと考えている。</t>
  </si>
  <si>
    <t>地域医療体制の充実</t>
  </si>
  <si>
    <t>基金積立管理事業</t>
  </si>
  <si>
    <t>市の保有する福祉施設の整備及び社会福祉に関するモデル的事業のほか市長が必要と認める事業に際し活用するための基金に積み立て。</t>
  </si>
  <si>
    <t>市民と行政が一体となって貴重なみどりと水辺の保全を図り、併せて良好な都市環境を形成するために活用する基金に積み立て。</t>
  </si>
  <si>
    <t>災害復旧、地方債の繰り上げ償還その他財源に不足が生じた際に活用する基金に積み立て。</t>
  </si>
  <si>
    <t>生活基盤の整備</t>
  </si>
  <si>
    <t>商業活性化推進事業</t>
  </si>
  <si>
    <t>市内の空き店舗を活用して事業を行う事業者に対して、必要となる改修費や賃借料の一部を補助します。</t>
  </si>
  <si>
    <t>小学校施設改修事業</t>
  </si>
  <si>
    <t>老朽化した市内小学校のプールを改修いたしました。</t>
  </si>
  <si>
    <t>常備消防事務費</t>
  </si>
  <si>
    <t>旭市消防本部干潟分署の外壁・屋根の改修工事を実施しました。</t>
  </si>
  <si>
    <t>感謝状筆耕代、同封チラシの紙代</t>
  </si>
  <si>
    <t>習志野高校マイクロバス購入事業</t>
  </si>
  <si>
    <t>部活動の盛んな市立習志野高校において、遠征や大会への往復に使用するマイクロバスが老朽化したことから、新しいマイクロバスを購入する。</t>
  </si>
  <si>
    <t>公共施設等再生整備、平和活動、市立高校応援、新型コロナウイルス感染症対策</t>
  </si>
  <si>
    <t>大久保小学校校舎改築事業</t>
  </si>
  <si>
    <t>大久保小学校の全面改築（建替え）工事を行うことで、児童の快適で安全・安心な教育環境の推進を図った。</t>
  </si>
  <si>
    <t>（仮称）藤崎こども園整備事業</t>
  </si>
  <si>
    <t>「習志野市こども園整備と既存市立幼稚園・保育所の再編計画」に基づき、新たに整備する（仮称）藤崎こども園の開設に向け工事を実施した。</t>
  </si>
  <si>
    <t>防災資機材等整備事業</t>
  </si>
  <si>
    <t>防災倉庫資機材（アルファ米、飲料水、LEDバルーンライト等）の整備を行った。</t>
  </si>
  <si>
    <t>4年ぶりの開催！「ふるさと柏」の想いを込めた手賀沼の花火で柏の活気を取り戻したい！</t>
  </si>
  <si>
    <t>４年ぶりに行われる予定の手賀沼花火大会の復活開催に係る費用</t>
  </si>
  <si>
    <t>つづくを，つなぐ。柏プラネタリウムー星空ものがたりー</t>
  </si>
  <si>
    <t>市立図書館内にあるプラネタリユウムの投影機大型修繕に係る費用</t>
  </si>
  <si>
    <t>新型コロナウイルス対策事業，ウクライナ緊急人道支援事業</t>
  </si>
  <si>
    <t>防災施設及び防災資材の管理事業</t>
  </si>
  <si>
    <t>災害時７２時間を乗り切る体制を整えた</t>
  </si>
  <si>
    <t>若年がん患者の在宅療養費支援事業</t>
  </si>
  <si>
    <t>がんに罹患された４０歳未満の方が住み慣れた自宅で自分らしく安心して日常生活を送れるよう，在宅療養生活に要する費用の一部を助成した</t>
  </si>
  <si>
    <t>一時預かり事業</t>
  </si>
  <si>
    <t>保護者のリフレッシュなど，理由を問わず多様な保育需要に対応した，お子さんの一時預かりを実施した</t>
  </si>
  <si>
    <t>市のホームページ上で寄附基金活用事業について公表しているため（寄附者に対しての報告ではなく，広く公表している。）</t>
  </si>
  <si>
    <t>仮に、寄附金の全額が指定された事業充当となった場合、資金繰りの関係で返礼品の調達ができなくなる恐れがあることを理由に過去から使途選択を不可としてきた。
しかし、使途選択できる自治体が多い中、本市においても今後は使途選択をできるよう検討していく方針である。</t>
  </si>
  <si>
    <t>青少年海外留学支援事業</t>
  </si>
  <si>
    <t xml:space="preserve">国際交流の担い手の育成・確保を目的として、市内在住の中・高校生を対象に、ニュージーランドへの短期留学を支援する。	</t>
  </si>
  <si>
    <t>上総いちはら国府祭り実施事業</t>
  </si>
  <si>
    <t>上総いちはら国府祭りを通して、市原の魅力を市内外に発信し、賑わいを創出するとともに市民の誇りや郷土愛を育む。</t>
  </si>
  <si>
    <t>市制施行60周年記念事業</t>
  </si>
  <si>
    <t>エンジン０１ in 市原を開催など、市制施行60周年記念事業を実施する。</t>
  </si>
  <si>
    <t>市ホームページ上で活用状況含め公表をしているため、個別に対応はしていない。</t>
  </si>
  <si>
    <t>南流山中学校移転事業</t>
  </si>
  <si>
    <t>南流山中学校を東洋学園大学旧校舎へ移転するため、大学施設を中学校仕様に改造するための工事に着手し、令和6年4月から供用を開始しました。</t>
  </si>
  <si>
    <t>新設小学校（おおたかの森地区）建設事業</t>
  </si>
  <si>
    <t>令和６年４月に開校した市野谷小学校の工事に役立てました。</t>
  </si>
  <si>
    <t>中央消防署移転事業</t>
  </si>
  <si>
    <t>現庁舎は昭和４９年に竣工されたもので、施設や設備の老朽化や狭隘化などが懸念されています。新庁舎では、市民の安心・安全を守る防災拠点施設、市民に開かれた庁舎、環境にやさしい庁舎を理念に掲げ、移転事業を進めています。</t>
  </si>
  <si>
    <t>今後、寄附者に対して事業の進捗状況・成果について報告することを検討している。</t>
  </si>
  <si>
    <t>新川千本桜植替工事</t>
  </si>
  <si>
    <t>八千代台西保育園施設賃貸借</t>
  </si>
  <si>
    <t>都市公園管理事業</t>
  </si>
  <si>
    <t>公園遊具・施設等点検業務委託[343か所]</t>
  </si>
  <si>
    <t>寄附は分野別に募集を募っており，事業の進捗状況までは共有する必要がないと考えるため。</t>
  </si>
  <si>
    <t>公共施設及びその設備の維持管理、修繕、更新その他の整備に関する事業</t>
  </si>
  <si>
    <t>我孫子第二小学校の改修について、令和４年度実施した設計より工事を行う。並木小学校及び湖北台西小学校について、令和６年度に予定している改修工事設計を実施する。我孫子第四小学校は、我孫子市学校施設個別施設計画に基づき令和６年度から第２校舎の建替えを行うとしているが、構造躯体劣化調査を行い、建替えの時期を延ばすことができないか検討を行う。</t>
  </si>
  <si>
    <t>庁舎維持補修費</t>
  </si>
  <si>
    <t>西別館受変電設備等更新工事 、西別館換気設備等改修工事 、西別館屋上防水等改修工事 、 議会棟第一委員会室改修工事を行う。また、施設の老朽化に伴い、 議会棟屋根防水等改修工事 、議会棟空調設備及び電灯等更新工事に向けた設計業務を行う。</t>
  </si>
  <si>
    <t>施設維持管理費（鳥の博物館）</t>
  </si>
  <si>
    <t>鳥の博物館長寿命化計画に基づき、老朽化した屋上・外壁、換気設備工事のための設計を行い、耐久年数を超えている屋内キュービクル、給排水設備及び昇降機 の改修・ 更新工事を行う。また、市民団体から寄贈予定のジャイアント・モアのモニュメント設置工事を行う。</t>
  </si>
  <si>
    <t>塵芥処理事業</t>
  </si>
  <si>
    <t>市内のごみ収集業務を円滑に進め、清掃センター処理施設の効率的運営と適正な運転、管理を行い、廃棄物の適正処理を実施</t>
  </si>
  <si>
    <t>道路橋梁維持補修事業</t>
  </si>
  <si>
    <t>市道等において安全で円滑な通行を確保するため、路面や側溝、排水路等の維持補修に努めるとともに市道舗装補修工事等を実施</t>
  </si>
  <si>
    <t>感染のおそれがある疾病の発生及びまん延を防止するため、予防接種を実施</t>
  </si>
  <si>
    <t>受入額実績及び活用状況等をHPにて公表していたため個別に寄附者への報告は実施していなかった。今後時期は未定だがHP又はポータルサイト内で事業の進捗・成果等について報告を検討している。</t>
  </si>
  <si>
    <t>①と⑦と⑧145件/3,009,000円、⑤と⑥761件/17，050，000円、④と⑨216件/3，910，000円</t>
  </si>
  <si>
    <t>民間保育所及び小規模保育事業所等への保育委託</t>
  </si>
  <si>
    <t>保育を必要とする乳児や幼児を保育するため、市内の民間保育所等に対する保育給付費を給付するもの。</t>
  </si>
  <si>
    <t>管内民間保育所等運営費補助金、小規模保育事業所運営費補助金</t>
  </si>
  <si>
    <t>民間保育所及び小規模保育事業所等の経営者に対して、当該保育所の円滑な運営を図ること目的として補助金を交付するもの。</t>
  </si>
  <si>
    <t>敬老事業への補助金交付</t>
  </si>
  <si>
    <t>自治会が敬老事業を実施する場合、補助金を交付するもの。</t>
  </si>
  <si>
    <t>寄附金の活用状況について、市ホームページで公表していることから、寄附者に対して個別に報告していない。</t>
  </si>
  <si>
    <t>ふるさと納税自販機賃借料</t>
  </si>
  <si>
    <t>きみつ赤ちゃん応援パック事業</t>
  </si>
  <si>
    <t>乳児を養育する保護者への紙おむつ等の定期配達、声掛け訪問による継続的な見守り支援及び相談支援を行う。</t>
  </si>
  <si>
    <t>郡ダム湖面活用推進事業</t>
  </si>
  <si>
    <t>郡ダムの湖面活用を推進するため水上スキーの実証実験を行う。</t>
  </si>
  <si>
    <t>市立公園維持管理事業</t>
  </si>
  <si>
    <t>清水渓流広場（濃溝の滝・亀岩の洞窟）などの市立公園の維持管理を行う</t>
  </si>
  <si>
    <t>今までに寄附してくれた方を対象に市や返礼品の情報を記載したメルマガを配信している。</t>
  </si>
  <si>
    <t>旅費、消耗品費等</t>
  </si>
  <si>
    <t>受入額実績及び活用状況について市HPに公表しており、寄附者個別への進捗状況・成果については報告していない。</t>
  </si>
  <si>
    <t>舞浜駅南口歩道橋橋面改修事業</t>
  </si>
  <si>
    <t>凹凸や破損が多い橋面タイルや排水構造物の改修を行い、市の玄関口にふさわしい施設として維持していくために実施するものです。</t>
  </si>
  <si>
    <t>新型コロナウイルス感染症対策事業</t>
  </si>
  <si>
    <t>育み学び誰もが成長するまちに関する事業</t>
  </si>
  <si>
    <t>子育て支援の充実、学校教育の充実、スポーツ、文化・芸術活動の振興など</t>
  </si>
  <si>
    <t>安全・安心で快適なまちに関する事業</t>
  </si>
  <si>
    <t>消防・救急・防犯の推進、水辺環境など快適な環境や都市基盤の整備など</t>
  </si>
  <si>
    <t>多様な機能と交流が生み出す魅力あふれるまちに関する事業</t>
  </si>
  <si>
    <t>観光・リゾート、都市拠点の整備など</t>
  </si>
  <si>
    <t>ふるさと応援寄附金を充当する事業については、10月中に整理し、公表しています。
なお、寄附者へ充当する事業の報告は、公表での対応をもって報告とさせていただきます。</t>
  </si>
  <si>
    <t>本市の新しい返礼品情報や取り組みをメールマガジンを通じて、発信しています。</t>
  </si>
  <si>
    <t>歴史民俗資料施設整備プロジェクト</t>
  </si>
  <si>
    <t>地域遺産を後世に継承していくための歴史民俗資料施設を整備する</t>
  </si>
  <si>
    <t>地域づくり活動応援プロジェクト</t>
  </si>
  <si>
    <t>市民団体の市域課題の解決に向けた取り組みを支援する</t>
  </si>
  <si>
    <t>子育て応援プロジェクト</t>
  </si>
  <si>
    <t>プレーパーク（冒険遊び場）の運営により、子どもたちだけでなく、保護者にもつながりの場を提供する</t>
  </si>
  <si>
    <t>健康・医療・福祉・子ども・子育て</t>
  </si>
  <si>
    <t>交通安全施設保守・整備事業</t>
  </si>
  <si>
    <t>道路の円滑な交通確保と交通事故の防止に向け、交通安全施設の新規設置、交換、再設置を行うとともに、歩道部段差解消などのバリアフリー工事を実施する。</t>
  </si>
  <si>
    <t>子ども医療対策事業</t>
  </si>
  <si>
    <t>子どもの保健対策の充実及び保護者の経済的負担の軽減を図るため、中学校３年生までの通院及び入院に要する子どもの医療費を助成する。</t>
  </si>
  <si>
    <t>クリーンセンター管理運営事業</t>
  </si>
  <si>
    <t>　ごみ焼却施設及び粗大ごみ処理施設の適正な維持管理と周辺環境への影響防止のため、施設の運転管理及び保守点検・整備を行う。
　また、クリーンセンターに持ち込まれる家庭系ごみの手数料納入に、キャッシュレス決済を導入するための端末を購入する。</t>
  </si>
  <si>
    <t>市HPにて、寄附金の受け入れ分野、各事業の成果報告の公表を行っているため</t>
  </si>
  <si>
    <t>都市形成・都市基盤の分野</t>
  </si>
  <si>
    <t xml:space="preserve"> 袖ケ浦市では、市内に居住しているお子さんが、病気やケガで医療機関（病院、薬局など）を受診した場合に、医療費の全部または一部を助成しています。令和5年8月診療分より対象年齢を高校3年生相当まで拡大しました。
　ふるさと納税を活用し、子育て世帯の経済的負担を軽減することで、子どもの健康の向上を図っています。</t>
  </si>
  <si>
    <t>健康づくり支援センター管理事業</t>
  </si>
  <si>
    <t xml:space="preserve"> 袖ケ浦市では、市民の健康保持・増進をハード・ソフト両面で支援する健康づくり支援センター（ガウランド）を設置し、総合的な健康づくり活動を展開しています。
　ふるさと納税を活用し、各種運動教室や健康相談などを実施し、市民の健康意識の向上を図っています。</t>
  </si>
  <si>
    <t>観光振興支援事業</t>
  </si>
  <si>
    <t xml:space="preserve"> 袖ケ浦市では都心から東京湾アクアラインを利用して約45分というアクセスの良さを活かした、観光振興を図っています。
　ふるさと納税を観光協会への支援に活用し、観光キャンペーンやレンタサイクル事業、御城印発行事業の実施、デジタル版観光ガイドマップによる観光情報の発信を行っています。
　東京ドイツ村のウィンターイルミネーション、いちご狩りなどの味覚狩りが人気を呼び、年々注目度が高まっています。</t>
  </si>
  <si>
    <t>健康づくり・福祉・子育て（③、⑥に該当する分野/件数：1,008件/金額：13,921,000円）
教育・文化・スポーツ（②、⑤に該当する分野/件数：308件/金額：4,556,000円）
土地・道路・交通（件数：197件/金額：2,646,000円）
野球場建設指定寄附（件数：1件/金額：92,000円）</t>
  </si>
  <si>
    <t>交通誘導警備業務</t>
  </si>
  <si>
    <t>市内小学校の児童・生徒の通学における安全性を確保するため、スクールバスの運行ルート上に警備員を配置し、交通の誘導と児童・生徒のバスへの乗り降りの援助を行う。</t>
  </si>
  <si>
    <t>落花生まつり会場設営業務</t>
  </si>
  <si>
    <t>茹で豆用落花生「おおまさり」の試食即売や、八街生姜ジンジャーエール、フルーツキャロットジュース、新鮮野菜等の即売を実施し、本市特産の落花生や市の魅力をＰＲし、市外からの観光客を誘致する。</t>
  </si>
  <si>
    <t>妊婦・乳児健康診査事業</t>
  </si>
  <si>
    <t>妊婦健康診査の公費助成（受診券１４回分）が継続的に実施され、地域において安心、安全に妊娠し出産できる環境づくりを推進する。また、乳児についても発達の節目となる時期に健康診査の公費助成を実施し、健全な発達支援に寄与する。</t>
  </si>
  <si>
    <t>事業の進捗状況・成果は、総合計画等の別事業で報告を行っているため。</t>
  </si>
  <si>
    <t>イルミネーション実施事業（10/2～12/31）</t>
  </si>
  <si>
    <t>平成30年から開催しているイルミネーションイベント「イルミライ★INZAI」の令和5年度開催において、人件費や資材費等の高騰により多くの費用が必要となるため、開催費用を募るもの。</t>
  </si>
  <si>
    <t>ウクライナ特別支援事業</t>
  </si>
  <si>
    <t>順天堂大学に係る広告料</t>
  </si>
  <si>
    <t>印西市の名前を広く市内外へPR・周知するため、市内にキャンパスを置く順天堂大学の陸上競技部男子駅伝チーム及び体操競技部のユニフォームへのロゴマーク掲載をはじめ、市民への体験教室、講義等を行う。</t>
  </si>
  <si>
    <t>駅圏イルミネーション実施団体支援（資材・電気工事）</t>
  </si>
  <si>
    <t>市民によるイルミネーション実施活動に対し、市が資材費や電気工事を支援する。</t>
  </si>
  <si>
    <t>シティプロモーション効果検証業務</t>
  </si>
  <si>
    <t>印西市の認知度の向上と、市への移住・定住促進及び交流人口の増加を図るため、インターネットを活用した意識調査を実施し、その調査結果を基に、「印西市シティプロモーションプラン」におけるプロモーション推進戦略についての効果検証・課題抽出等を行うことで、今後の効率的かつ効果的なプロモーション活動の推進を図ることを目的とする。</t>
  </si>
  <si>
    <t>寄附金を財源とする各基金の充当事業については、各部署の権限で運用しており、一律の対応はしていないため。</t>
  </si>
  <si>
    <t>市で具体的な事業を選択できるようにはしておらず、寄附者が自由に記載したものであるため記載なし</t>
  </si>
  <si>
    <t>公共施設の整備に関する事業、クラウドファンディング</t>
  </si>
  <si>
    <t>教育の情報化推進事業</t>
  </si>
  <si>
    <t>国が示す「GIGAスクール構想」に基づく1人1台の学習用端末の有効活用を図り、学校での授業や活動において効果的なICT化を進める。</t>
  </si>
  <si>
    <t>ごみの減量化・資源化推進事業</t>
  </si>
  <si>
    <t>ごみの減量化及び資源化を促進し、環境の保全と循環型社会の形成を図るため、ごみ分別の徹底など、ごみの減量意識を啓発する講座等を開催するとともに、生ごみ処理容器等の購入費用の一部を補助する。</t>
  </si>
  <si>
    <t>高齢者在宅福祉事業</t>
  </si>
  <si>
    <t>在宅の要援護高齢者及び重度心身障害者に外出支援サービスを提供することにより社会参加を促進し、もって、健康の増進、福祉の向上を図る。</t>
  </si>
  <si>
    <t>寄附件数が多く、寄附者個別に進捗状況を報告することが職員体制として難しいため。</t>
  </si>
  <si>
    <t>富里ならではのイベントを充実させるための事業</t>
  </si>
  <si>
    <t>こども園運営事業</t>
  </si>
  <si>
    <t>子どもの心身の発達を促し、児童期以降のスポーツに親しむ資質、能力の育成に寄与する取組を実施する。</t>
  </si>
  <si>
    <t>健康なからだづくりのための総合推進事業</t>
  </si>
  <si>
    <t>健康寿命の延伸に向け、若い世代の壮年期から健康なからだづくりの意識づけや習慣づけに関する取組を実施する。</t>
  </si>
  <si>
    <t>旧岩崎家末廣別邸保存活用事業</t>
  </si>
  <si>
    <t>国登録有形文化財「旧岩崎家末廣別邸」の歴史的・文化的価値の維持・向上を図るための整備を実施する。</t>
  </si>
  <si>
    <t>市公式ホームページで活用状況について公表しているため、寄附者個別に報告する予定はない。</t>
  </si>
  <si>
    <t>寄附金受領証明書送付時に、「とみさとファンクラブ」募集チラシを同封している。</t>
  </si>
  <si>
    <t>イベント出展時旅費、イベント出展料</t>
  </si>
  <si>
    <t>０歳から高校３年生までの子どもが医療機関を受診・入院した場合、健康保険の適用となる医療費の自己負担額を助成する。</t>
  </si>
  <si>
    <t>発育発達支援事業</t>
  </si>
  <si>
    <t>発育発達に心配のある子供を対象に臨床心理士や理学療法士などの専門家の助言を受けられるよう支援する。</t>
  </si>
  <si>
    <t>公園・遊歩道管理事業</t>
  </si>
  <si>
    <t>市民や来訪者の利便性と安全確保のため、公園・遊歩道・登山道の維持管理を行う。</t>
  </si>
  <si>
    <t>希望者へのメルマガ配信や、返礼品へのチラシの同封など</t>
  </si>
  <si>
    <t>産業の振興（⑦・⑧に該当する分野／金額：5,759,000円）、福祉の充実（③・⑥に該当する分野／金額：3,485,000円）、教育の充実（②・⑤に該当する分野／金額：6,442,000円）、住環境の整備（④・⑨に該当する分野／金額：652,000円）、まちづくり（①・⑧に該当する分野／金額：4,329,000円）、新型コロナウイルス感染症対策に関する事業（④に該当する分野／金額：172,000円）</t>
  </si>
  <si>
    <t>自主防災組織整備事業</t>
  </si>
  <si>
    <t>防災用資機材の購入</t>
    <rPh sb="0" eb="2">
      <t>ボウサイ</t>
    </rPh>
    <rPh sb="2" eb="3">
      <t>ヨウ</t>
    </rPh>
    <rPh sb="3" eb="6">
      <t>シキザイ</t>
    </rPh>
    <rPh sb="7" eb="9">
      <t>コウニュウ</t>
    </rPh>
    <phoneticPr fontId="11"/>
  </si>
  <si>
    <t>都市公園維持管理費</t>
  </si>
  <si>
    <t>芝や樹木等の管理や清掃業務等の公園の維持管理を行った。</t>
  </si>
  <si>
    <t>地域交通利用助成事業</t>
  </si>
  <si>
    <t>市内循環バスの利用が困難な高齢者が日常生活の交通手段としてタクシーを利用する場合に、その利用料金の全部または一部を助成することにより、日常生活の利便向上及び経済的負担の軽減を図った。</t>
  </si>
  <si>
    <t>パンフレット印刷用インク</t>
  </si>
  <si>
    <t>0歳から18歳の年度末までの子供の入院・通院に係る保険医療費の助成</t>
  </si>
  <si>
    <t>米政策改革事業</t>
  </si>
  <si>
    <t>飼料用米出荷に対し奨励金を交付</t>
  </si>
  <si>
    <t>香取おみがわ医療センター運営事業</t>
  </si>
  <si>
    <t>千葉大と連携した研修医及び指導医育成や小児医療に要する経費に活用</t>
  </si>
  <si>
    <t>寄附金充当事業を含めた施策評価や事務事業評価として公表しているため。</t>
  </si>
  <si>
    <t>定期的なメルマガ配信やポータルサイト上で市の最新情報を配信している。
レビューをお願いするチラシを返礼品に同封するよう事業者に協力を依頼している。</t>
  </si>
  <si>
    <t>商店等魅力発信事業</t>
  </si>
  <si>
    <t>地域経済の活性化を目的とし、情報発信媒体（SAMMU MAGAZINE）を用いて市内商店等の魅力を発信</t>
  </si>
  <si>
    <t>不法投棄パトロール事業</t>
  </si>
  <si>
    <t>①不法投棄の発生を未然に防ぐため市内を巡回・監視、②市の管理する道路等において発生した不法投棄を回収</t>
  </si>
  <si>
    <t>市内中学生を対象に英語検定受験料を補助</t>
  </si>
  <si>
    <t>紙媒体にて申し込みを行う寄附者の返信用封筒印刷製本費</t>
  </si>
  <si>
    <t>市長が必要と認める事業（いすみ鉄道応援プロジェクト・いすみ有機無農薬野菜プロジェクトなど）</t>
  </si>
  <si>
    <t>学校給食運営事業（地元産米、地元産品）</t>
  </si>
  <si>
    <t>市内小中学校の学校給食で提供されるお米の全量を有機無農薬米とし、食材として使用する野菜の一部について有機無農薬野菜を取り入れ、子どもたちに安心・安全な学校給食を提供する</t>
  </si>
  <si>
    <t>小学校情報教育推進事業</t>
  </si>
  <si>
    <t>情報化社会の中で主体的に情報機器を活用し、自主的に学ぶ子どもを育てるため、教育用パソコンを整備するとともに学習環境についても整備を図る</t>
  </si>
  <si>
    <t>市道維持管理事業</t>
  </si>
  <si>
    <t>市内幹線道路の経年劣化に要る道路損傷個所の舗装打換えや降雨による路面排水能力の向上を図るための測溝を布設</t>
  </si>
  <si>
    <t>寄附金を充当した事業についてカタログによる寄附申出者に対して報告予定</t>
  </si>
  <si>
    <t>メールマガジンの配信や継続してご寄附をいただいている寄附者に対しカタログを季節ごとに送付している</t>
  </si>
  <si>
    <t>大網白里市</t>
  </si>
  <si>
    <t>創意と工夫により持続可能な行財政運営の推進</t>
  </si>
  <si>
    <t>寄附金は一般財源として扱っており、特定の事業に充当していないため未記入</t>
  </si>
  <si>
    <t>当該事業にかかる要領において、公表することとしている事業が①、②であるため
③の公表又は報告の開始予定・・・無し</t>
  </si>
  <si>
    <t>ポータルサイトのメールサービスを利用した情報発信　等</t>
  </si>
  <si>
    <t>シティプロモーション事業</t>
  </si>
  <si>
    <t>町の魅力を発信するための映像作成、ふるさとカレンダーの作成等</t>
  </si>
  <si>
    <t>防犯ボックス事業　</t>
  </si>
  <si>
    <t>返礼品調達地域防犯力を向上するための防犯ボックス運営費</t>
  </si>
  <si>
    <t>ふるさと納税推進事業</t>
  </si>
  <si>
    <t>ふるさと納税運営に係る委託、</t>
  </si>
  <si>
    <t>進捗状況等を指数や文字で表すのが困難であるため</t>
  </si>
  <si>
    <t>当町では、上記①から⑩の分野を５分野に集約した内容で選択できるようにしていることから、その他に全件数、全額を記入した。</t>
  </si>
  <si>
    <t>赤ちゃん子育て支援金</t>
  </si>
  <si>
    <t>次世代を担う子供たちと親が住み続けたいまちづくりを目的に出産祝い金を３ヶ年に分けて支給し、子育て世代の負担を軽減します。</t>
  </si>
  <si>
    <t>リバーサイドフェスティバル実行委員会負担金</t>
  </si>
  <si>
    <t>上記実行委員会に対する負担金（町の特産品である米の食味コンテスト、米や黒大豆の無料配布、花火打ち上げなど）</t>
  </si>
  <si>
    <t>中学生海外派遣事業助成金</t>
  </si>
  <si>
    <t>中学生の海外（オーストラリア）への派遣事業費に対する助成金</t>
  </si>
  <si>
    <t>寄附者個々に報告することは、人員等が不足し対応が難しいためホームページ上で公表することで報告に代えるている。</t>
  </si>
  <si>
    <t>年間で１０００万円程度の寄附しか集まっていなかったため、使途を選択するようにすると細分化され充当先事業がいくつも作られてしまうため。</t>
  </si>
  <si>
    <t>使い道が「町長にお任せ」の一択であり、寄附者個人への充当事業の報告は郵便料などが追加で発生してしまうため実施していない。</t>
  </si>
  <si>
    <t>公共交通事業</t>
  </si>
  <si>
    <t>町内公共交通の更なる利便性向上を図るため、空港シャトルバスとデマンドタクシーの運行の継続を図る。</t>
  </si>
  <si>
    <t>自主公演事業（コンサート事業）</t>
  </si>
  <si>
    <t>上質の芸術文化を鑑賞する機会を提供し、芸術に対する高い感性を養うことを目的とする事業。</t>
  </si>
  <si>
    <t>公園整備事業</t>
  </si>
  <si>
    <t>眺望公園の整備。R5年度は用地測量を実施。</t>
  </si>
  <si>
    <t>中学校大規模改修事業</t>
  </si>
  <si>
    <t>東庄中学校の老朽化に伴い、外部工事（屋上等の防水改修、外壁塗装、サッシ取替等）、内部工事（教室の床工事、内装の再塗装等）を行った</t>
  </si>
  <si>
    <t>保育士処遇改善事業</t>
  </si>
  <si>
    <t>保育士等の確保および定着をはかるため補助金を交付</t>
  </si>
  <si>
    <t>CSFワクチン接種助成</t>
  </si>
  <si>
    <t>町の特産品である豚に関して、CSFワクチンを接種し豚熱を予防する</t>
  </si>
  <si>
    <t>実績と事業内容について広報とHPにて公開していますが、寄附者に対して事業進捗や成果はしておりませんでした。今後、寄付者に対してメルマガ発信ができないか中間事業者と検討中のため、R６年中に運用開始を目指します。</t>
  </si>
  <si>
    <t>水産業振興事業</t>
  </si>
  <si>
    <t>ハマグリの種苗放流、釣り大会の実施</t>
  </si>
  <si>
    <t>定住促進住宅取得奨励金事業</t>
  </si>
  <si>
    <t>九十九里町の人口増加と定住化の促進を図るため、定住促進住宅取得奨励金を交付</t>
  </si>
  <si>
    <t>学校給食への地場産品使用促進</t>
  </si>
  <si>
    <t>住宅取得奨励金</t>
  </si>
  <si>
    <t>芝山町内で住居を取得された方に最大１２０万円の助成金交付</t>
  </si>
  <si>
    <t>放課後児童健全育成事業委託料</t>
  </si>
  <si>
    <t>保護者が労働等により昼間家庭にいない小学校に就学している児童に対し、授業の終了後等に小学校の余裕教室や児童館等を利用して適切な遊び及び生活の場を与えて、その健全な育成を図る</t>
  </si>
  <si>
    <t>自動車燃料費助成金</t>
  </si>
  <si>
    <t>重度の障がいのある世帯の外出支援のために、自動車燃料費（ガソリン代）の一部を助成</t>
  </si>
  <si>
    <t>予定なし</t>
  </si>
  <si>
    <t>新型コロナウイルスのために</t>
  </si>
  <si>
    <t>保健衛生総務事務費(EV車)の購入</t>
  </si>
  <si>
    <t>SDGｓの観点から、環境に配慮した軽電気車両を購入し温室効果ガス削減に貢献する。</t>
  </si>
  <si>
    <t>②　充当する事業が明確でないため、活用状況を公表していない。
③　②と同じ理由</t>
  </si>
  <si>
    <t>図書館整備、公共施設整備</t>
  </si>
  <si>
    <t>一宮町立東浪見小学校ブランコ設置事業</t>
  </si>
  <si>
    <t>一宮町立東浪見小学校にブランコを設置する。</t>
  </si>
  <si>
    <t>広報用備品購入事業</t>
  </si>
  <si>
    <t>広報用に一眼レフカメラ等の備品を購入する。</t>
  </si>
  <si>
    <t>農林商工まつり事業</t>
  </si>
  <si>
    <t>睦沢町の豊かな自然の肥沃な大地で育まれた、安全・安心な農産物等のPRをするとともに、町全体の産業の活性化を図ることを目的として実施する。農林商工功労者の表彰や子供料理コンテストの表彰、農畜産物や商工業製品の展示、販売、各種イベント等を実施している。</t>
  </si>
  <si>
    <t>睦沢中学校の生徒が姉妹校であるシンガポールのビーティセカンダリースクールとオンラインで交流するとともに、記念品の交換を行い、国際理解教育を図る。</t>
  </si>
  <si>
    <t>受入額実績以外の状況は今後、町のHPで公表する予定。準備が出来次第公表を検討しているが具体的な時期は未定である。</t>
  </si>
  <si>
    <t>FAXや郵送で申し込みをされているリピーターに対しては、インターネット環境や使用できない方であるために年度当初に案内文や寄附申出書を送付している。</t>
  </si>
  <si>
    <t>0歳から高校3年生までの保険診療に係る医療費の一部を助成する。</t>
  </si>
  <si>
    <t>園小中一貫教育として、外国語指導助手（ALT）による英語教室、民間事業者による創作教室・一部拡大して運動教室を開催し幼児教育の充実を図る。</t>
  </si>
  <si>
    <t>高齢者や障がい者、70歳以上で免許を自主返納した方、妊産婦等の活動範囲を広げるためタクシー料金を助成する。</t>
  </si>
  <si>
    <t>①毎月一部寄附者に対し、村長からお礼の電話をしている。②各種オーナー制度や村主催のイベント時に事業を周知するチラシ等をご案内資料に同封している。</t>
  </si>
  <si>
    <t>児童たちが安全・安心な状態で教育を受けられる環境を整える。</t>
  </si>
  <si>
    <t>小学校管理運営事業</t>
  </si>
  <si>
    <t>返礼品募集時にメール配信している。</t>
  </si>
  <si>
    <t>物価高騰に伴う子育て世帯支援対策で、保護者の負担を軽減するため無償化にするもの</t>
  </si>
  <si>
    <t>こども園給食費無償化事業</t>
  </si>
  <si>
    <t>物価高騰に伴う子育て世帯支援対策で、園児の保護者の負担を軽減するため無償化にするもの</t>
  </si>
  <si>
    <t>高齢者等外出支援タクシー利用助成事業</t>
  </si>
  <si>
    <t>高齢者等の交通利便性の向上及びス社会生活圏の拡大を図るため、タクシー料金の助成を行うものとし、年間48,000円分の利用券を交付</t>
  </si>
  <si>
    <t>活用状況を公表予定</t>
  </si>
  <si>
    <t>ふるさと創生基金繰入金に積み立て、特定の分野に偏ることなく、幅広く活用している。</t>
  </si>
  <si>
    <t>②ふるさと創生基金繰入金に積み立て幅広く活用しているため、個別事業への活用は難しいため（公表時期は未定）
③ふるさと創生基金繰入金に積み立て幅広く活用しているため、寄附金を充当する事業を選別した進捗状況・成果を公表することは難しいため（公表時期は未定）</t>
  </si>
  <si>
    <t>高速バス運行事業</t>
  </si>
  <si>
    <t>観光客の誘致や都心への通勤通学を可能とし、定住化を促進するため高速バスの整備を行う。</t>
  </si>
  <si>
    <t>定めていない</t>
  </si>
  <si>
    <t>面白峡遊歩道整備事業</t>
  </si>
  <si>
    <t>豊かな自然環境や川沿いに生息する多様な動植物と親しめる場所を提供するため養老川沿いの遊歩道整備を行う。</t>
  </si>
  <si>
    <t>なし（上記２つのみ）</t>
  </si>
  <si>
    <t>幻想の世界「月の沙漠の旅」づくり事業105件4,627,000円、世界に発信「人類愛の輪」事業18件644,000円、夢を育む人にやさしいまちづくり事業135件6,653,000円、活力があふれ賑わいを生むまちづくり事業183件8,196,000円、住民協働による豊かな暮らしと安心安全なまちづくり事業90件2,729,000円</t>
  </si>
  <si>
    <t>高校生までの子どもの医療費の無償化に係る費用</t>
  </si>
  <si>
    <t>町営プール運営事業</t>
  </si>
  <si>
    <t>御宿町営ウォーターパークの開設、イベントの開催に係る費用に充当</t>
  </si>
  <si>
    <t>月の沙漠記念館運営事業</t>
  </si>
  <si>
    <t>当町をモデルとして作られた童謡「月の沙漠」の作者　加藤まさを氏の作品等の作品を展示している施設の管理運営経費に充当</t>
  </si>
  <si>
    <t>給食センター管理運営費</t>
  </si>
  <si>
    <t>給食用食器皿</t>
  </si>
  <si>
    <t>都市交流施設周辺整備事業</t>
  </si>
  <si>
    <t>ペットロボット・待合所ベンチ・ロールスクリーン</t>
  </si>
  <si>
    <t>佐久間ダム維持管理事業</t>
  </si>
  <si>
    <t>トイレ他塗り替え改修</t>
  </si>
  <si>
    <t>［留意事項］</t>
  </si>
  <si>
    <t>ふるさと納税の受入件数及び受入額について</t>
    <phoneticPr fontId="12"/>
  </si>
  <si>
    <t xml:space="preserve">・「④　①のうち、被災地方団体の代理受入に係るもの」欄には、被災団体に全額交付することを前提に、当該団体が被災団体の代理で寄附を募り受け入れた金額が計上されている。 </t>
    <phoneticPr fontId="12"/>
  </si>
  <si>
    <t>表の単位について、特に記載がある場合を除き、件数：件、金額：円とする。</t>
    <rPh sb="0" eb="1">
      <t>ヒョウ</t>
    </rPh>
    <rPh sb="2" eb="4">
      <t>タンイ</t>
    </rPh>
    <rPh sb="9" eb="10">
      <t>トク</t>
    </rPh>
    <rPh sb="11" eb="13">
      <t>キサイ</t>
    </rPh>
    <rPh sb="16" eb="18">
      <t>バアイ</t>
    </rPh>
    <rPh sb="19" eb="20">
      <t>ノゾ</t>
    </rPh>
    <rPh sb="22" eb="24">
      <t>ケンスウ</t>
    </rPh>
    <rPh sb="25" eb="26">
      <t>ケン</t>
    </rPh>
    <rPh sb="27" eb="29">
      <t>キンガク</t>
    </rPh>
    <rPh sb="30" eb="31">
      <t>エン</t>
    </rPh>
    <phoneticPr fontId="12"/>
  </si>
  <si>
    <t>＜Ⅲ.ワンストップ特例の対応について＞</t>
    <phoneticPr fontId="12"/>
  </si>
  <si>
    <t>１．返礼品等の提供の状況について、該当するものを選択してください。
①返礼品等を送付している
②返礼品等を送付していない。</t>
    <phoneticPr fontId="12"/>
  </si>
  <si>
    <t>１．ふるさと納税を募集する際に、使途（ふるさと納税を財源として実施する事業等）を選択できるようにしていますか。
①選択できる
②選択できない</t>
    <phoneticPr fontId="12"/>
  </si>
  <si>
    <t>＜Ⅳ.ふるさと納税を募集する際の取組について＞</t>
    <rPh sb="10" eb="12">
      <t>ボシュウ</t>
    </rPh>
    <rPh sb="14" eb="15">
      <t>サイ</t>
    </rPh>
    <rPh sb="16" eb="17">
      <t>ト</t>
    </rPh>
    <rPh sb="17" eb="18">
      <t>ク</t>
    </rPh>
    <phoneticPr fontId="12"/>
  </si>
  <si>
    <t>＜Ⅴ.ふるさと納税の受入実績等の公表及び受入後の取組について＞</t>
    <phoneticPr fontId="12"/>
  </si>
  <si>
    <t>＜Ⅵ．返礼品等の提供の状況について＞</t>
    <phoneticPr fontId="12"/>
  </si>
  <si>
    <t>・各地方団体（都道府県及び市区町村）に対する寄附について、令和５年度（令和５年４月１日～令和６年３月31日）の決算見込の状況をとりまとめたものである。</t>
    <rPh sb="35" eb="37">
      <t>レイワ</t>
    </rPh>
    <rPh sb="47" eb="48">
      <t>ネン</t>
    </rPh>
    <phoneticPr fontId="76"/>
  </si>
  <si>
    <t>（東京都は、令和５年度の指定に際し申出書の提出がなかったことから、同団体に対する寄附については特例控除の対象外である。）</t>
    <phoneticPr fontId="12"/>
  </si>
  <si>
    <t>324485</t>
    <phoneticPr fontId="12"/>
  </si>
  <si>
    <t xml:space="preserve">寄附者からのワンストップ特例申請について、オンラインで対応していますか。
</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</si>
</sst>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quot;▲ &quot;#,##0"/>
    <numFmt numFmtId="177" formatCode="m/d;@"/>
    <numFmt numFmtId="178" formatCode="0.0%"/>
    <numFmt numFmtId="179" formatCode="0_);[Red]\(0\)"/>
    <numFmt numFmtId="180" formatCode="#,##0_ "/>
    <numFmt numFmtId="181" formatCode="#,##0_ ;[Red]\-#,##0\ "/>
    <numFmt numFmtId="182" formatCode="#,##0_);[Red]\(#,##0\)"/>
    <numFmt numFmtId="183" formatCode="#,###;\-#,###"/>
  </numFmts>
  <fonts count="77" x14ac:knownFonts="1">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scheme val="minor"/>
    </font>
    <font>
      <sz val="11"/>
      <color theme="1"/>
      <name val="ＭＳ Ｐゴシック"/>
      <family val="3"/>
      <charset val="128"/>
      <scheme val="minor"/>
    </font>
    <font>
      <sz val="6"/>
      <name val="ＭＳ Ｐゴシック"/>
      <family val="3"/>
      <charset val="128"/>
      <scheme val="minor"/>
    </font>
    <font>
      <sz val="6"/>
      <name val="ＭＳ Ｐゴシック"/>
      <family val="2"/>
      <charset val="128"/>
      <scheme val="min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11"/>
      <color theme="1"/>
      <name val="ＭＳ Ｐゴシック"/>
      <family val="2"/>
      <charset val="128"/>
    </font>
    <font>
      <b/>
      <sz val="18"/>
      <color theme="3"/>
      <name val="ＭＳ Ｐゴシック"/>
      <family val="2"/>
      <charset val="128"/>
      <scheme val="major"/>
    </font>
    <font>
      <sz val="6"/>
      <name val="ＭＳ Ｐゴシック"/>
      <family val="3"/>
      <charset val="128"/>
    </font>
    <font>
      <sz val="11"/>
      <name val="ＭＳ Ｐゴシック"/>
      <family val="3"/>
      <charset val="128"/>
    </font>
    <font>
      <sz val="11"/>
      <color theme="1" tint="4.9989318521683403E-2"/>
      <name val="ＭＳ Ｐゴシック"/>
      <family val="3"/>
      <charset val="128"/>
    </font>
    <font>
      <sz val="16"/>
      <name val="ＭＳ Ｐ明朝"/>
      <family val="1"/>
      <charset val="128"/>
    </font>
    <font>
      <sz val="12"/>
      <name val="ＭＳ Ｐゴシック"/>
      <family val="3"/>
      <charset val="128"/>
      <scheme val="minor"/>
    </font>
    <font>
      <sz val="11"/>
      <name val="ＭＳ Ｐゴシック"/>
      <family val="3"/>
      <charset val="128"/>
      <scheme val="minor"/>
    </font>
    <font>
      <sz val="11"/>
      <color theme="1"/>
      <name val="ＭＳ Ｐゴシック"/>
      <family val="3"/>
      <charset val="128"/>
    </font>
    <font>
      <sz val="11"/>
      <color theme="1"/>
      <name val="ＭＳ Ｐゴシック"/>
      <family val="3"/>
      <scheme val="minor"/>
    </font>
    <font>
      <sz val="11"/>
      <name val="ＭＳ Ｐゴシック"/>
      <family val="2"/>
      <scheme val="minor"/>
    </font>
    <font>
      <sz val="26"/>
      <name val="ＭＳ Ｐゴシック"/>
      <family val="3"/>
      <charset val="128"/>
      <scheme val="minor"/>
    </font>
    <font>
      <sz val="24"/>
      <name val="ＭＳ Ｐゴシック"/>
      <family val="3"/>
      <charset val="128"/>
      <scheme val="minor"/>
    </font>
    <font>
      <u/>
      <sz val="18"/>
      <name val="ＭＳ Ｐゴシック"/>
      <family val="3"/>
      <charset val="128"/>
      <scheme val="minor"/>
    </font>
    <font>
      <sz val="18"/>
      <name val="ＭＳ Ｐゴシック"/>
      <family val="3"/>
      <charset val="128"/>
      <scheme val="minor"/>
    </font>
    <font>
      <sz val="16"/>
      <name val="ＭＳ Ｐゴシック"/>
      <family val="3"/>
      <charset val="128"/>
      <scheme val="minor"/>
    </font>
    <font>
      <sz val="22"/>
      <name val="ＭＳ Ｐゴシック"/>
      <family val="3"/>
      <charset val="128"/>
      <scheme val="minor"/>
    </font>
    <font>
      <sz val="20"/>
      <name val="ＭＳ Ｐゴシック"/>
      <family val="3"/>
      <charset val="128"/>
      <scheme val="minor"/>
    </font>
    <font>
      <sz val="11"/>
      <name val="ＭＳ Ｐ明朝"/>
      <family val="1"/>
      <charset val="128"/>
    </font>
    <font>
      <sz val="18"/>
      <name val="ＭＳ Ｐ明朝"/>
      <family val="1"/>
      <charset val="128"/>
    </font>
    <font>
      <sz val="18"/>
      <color rgb="FFFF0000"/>
      <name val="ＭＳ Ｐ明朝"/>
      <family val="1"/>
      <charset val="128"/>
    </font>
    <font>
      <sz val="20"/>
      <name val="ＭＳ Ｐ明朝"/>
      <family val="1"/>
      <charset val="128"/>
    </font>
    <font>
      <sz val="14"/>
      <name val="ＭＳ Ｐ明朝"/>
      <family val="1"/>
      <charset val="128"/>
    </font>
    <font>
      <strike/>
      <sz val="14"/>
      <name val="ＭＳ Ｐ明朝"/>
      <family val="1"/>
      <charset val="128"/>
    </font>
    <font>
      <b/>
      <sz val="12"/>
      <name val="ＭＳ Ｐゴシック"/>
      <family val="3"/>
      <charset val="128"/>
      <scheme val="minor"/>
    </font>
    <font>
      <sz val="13"/>
      <name val="ＭＳ Ｐゴシック"/>
      <family val="3"/>
      <charset val="128"/>
      <scheme val="minor"/>
    </font>
    <font>
      <i/>
      <sz val="14"/>
      <name val="ＭＳ Ｐゴシック"/>
      <family val="3"/>
      <charset val="128"/>
      <scheme val="minor"/>
    </font>
    <font>
      <sz val="14"/>
      <name val="ＭＳ Ｐゴシック"/>
      <family val="3"/>
      <charset val="128"/>
      <scheme val="minor"/>
    </font>
    <font>
      <i/>
      <sz val="12"/>
      <name val="ＭＳ Ｐゴシック"/>
      <family val="3"/>
      <charset val="128"/>
      <scheme val="minor"/>
    </font>
    <font>
      <sz val="11"/>
      <name val="Meiryo UI"/>
      <family val="3"/>
      <charset val="128"/>
    </font>
    <font>
      <sz val="11"/>
      <color theme="1"/>
      <name val="Meiryo UI"/>
      <family val="3"/>
      <charset val="128"/>
    </font>
    <font>
      <sz val="11"/>
      <color theme="0"/>
      <name val="ＭＳ Ｐゴシック"/>
      <family val="2"/>
      <scheme val="minor"/>
    </font>
    <font>
      <sz val="11"/>
      <color rgb="FF9C6500"/>
      <name val="ＭＳ Ｐゴシック"/>
      <family val="2"/>
      <scheme val="minor"/>
    </font>
    <font>
      <b/>
      <sz val="18"/>
      <color theme="3"/>
      <name val="ＭＳ Ｐゴシック"/>
      <family val="2"/>
      <scheme val="major"/>
    </font>
    <font>
      <b/>
      <sz val="11"/>
      <color theme="0"/>
      <name val="ＭＳ Ｐゴシック"/>
      <family val="2"/>
      <scheme val="minor"/>
    </font>
    <font>
      <sz val="11"/>
      <color rgb="FFFA7D00"/>
      <name val="ＭＳ Ｐゴシック"/>
      <family val="2"/>
      <scheme val="minor"/>
    </font>
    <font>
      <sz val="11"/>
      <color rgb="FF3F3F76"/>
      <name val="ＭＳ Ｐゴシック"/>
      <family val="2"/>
      <scheme val="minor"/>
    </font>
    <font>
      <b/>
      <sz val="11"/>
      <color rgb="FF3F3F3F"/>
      <name val="ＭＳ Ｐゴシック"/>
      <family val="2"/>
      <scheme val="minor"/>
    </font>
    <font>
      <sz val="11"/>
      <color rgb="FF9C0006"/>
      <name val="ＭＳ Ｐゴシック"/>
      <family val="2"/>
      <scheme val="minor"/>
    </font>
    <font>
      <sz val="11"/>
      <color rgb="FF006100"/>
      <name val="ＭＳ Ｐゴシック"/>
      <family val="2"/>
      <scheme val="minor"/>
    </font>
    <font>
      <b/>
      <sz val="15"/>
      <color theme="3"/>
      <name val="ＭＳ Ｐゴシック"/>
      <family val="2"/>
      <scheme val="minor"/>
    </font>
    <font>
      <b/>
      <sz val="13"/>
      <color theme="3"/>
      <name val="ＭＳ Ｐゴシック"/>
      <family val="2"/>
      <scheme val="minor"/>
    </font>
    <font>
      <b/>
      <sz val="11"/>
      <color theme="3"/>
      <name val="ＭＳ Ｐゴシック"/>
      <family val="2"/>
      <scheme val="minor"/>
    </font>
    <font>
      <b/>
      <sz val="11"/>
      <color rgb="FFFA7D00"/>
      <name val="ＭＳ Ｐゴシック"/>
      <family val="2"/>
      <scheme val="minor"/>
    </font>
    <font>
      <i/>
      <sz val="11"/>
      <color rgb="FF7F7F7F"/>
      <name val="ＭＳ Ｐゴシック"/>
      <family val="2"/>
      <scheme val="minor"/>
    </font>
    <font>
      <sz val="11"/>
      <color rgb="FFFF0000"/>
      <name val="ＭＳ Ｐゴシック"/>
      <family val="2"/>
      <scheme val="minor"/>
    </font>
    <font>
      <b/>
      <sz val="11"/>
      <color theme="1"/>
      <name val="ＭＳ Ｐゴシック"/>
      <family val="2"/>
      <scheme val="minor"/>
    </font>
    <font>
      <sz val="9"/>
      <color theme="1"/>
      <name val="Meiryo UI"/>
      <family val="3"/>
      <charset val="128"/>
    </font>
  </fonts>
  <fills count="37">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FF9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48">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auto="1"/>
      </left>
      <right/>
      <top/>
      <bottom/>
      <diagonal/>
    </border>
    <border>
      <left/>
      <right style="hair">
        <color auto="1"/>
      </right>
      <top style="thin">
        <color indexed="64"/>
      </top>
      <bottom/>
      <diagonal/>
    </border>
    <border>
      <left style="hair">
        <color auto="1"/>
      </left>
      <right/>
      <top style="thin">
        <color indexed="64"/>
      </top>
      <bottom style="hair">
        <color auto="1"/>
      </bottom>
      <diagonal/>
    </border>
    <border>
      <left/>
      <right style="thin">
        <color indexed="64"/>
      </right>
      <top style="thin">
        <color auto="1"/>
      </top>
      <bottom style="hair">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auto="1"/>
      </top>
      <bottom style="thin">
        <color auto="1"/>
      </bottom>
      <diagonal/>
    </border>
    <border>
      <left style="thin">
        <color auto="1"/>
      </left>
      <right/>
      <top style="hair">
        <color auto="1"/>
      </top>
      <bottom style="thin">
        <color auto="1"/>
      </bottom>
      <diagonal/>
    </border>
    <border>
      <left/>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right style="thin">
        <color indexed="64"/>
      </right>
      <top style="thin">
        <color indexed="64"/>
      </top>
      <bottom style="double">
        <color indexed="64"/>
      </bottom>
      <diagonal/>
    </border>
  </borders>
  <cellStyleXfs count="217">
    <xf numFmtId="0" fontId="0" fillId="0" borderId="0"/>
    <xf numFmtId="38" fontId="10" fillId="0" borderId="0" applyFont="0" applyFill="0" applyBorder="0" applyAlignment="0" applyProtection="0">
      <alignment vertical="center"/>
    </xf>
    <xf numFmtId="0" fontId="9" fillId="0" borderId="0">
      <alignment vertical="center"/>
    </xf>
    <xf numFmtId="0" fontId="8" fillId="0" borderId="0">
      <alignment vertical="center"/>
    </xf>
    <xf numFmtId="9" fontId="10" fillId="0" borderId="0" applyFont="0" applyFill="0" applyBorder="0" applyAlignment="0" applyProtection="0">
      <alignment vertical="center"/>
    </xf>
    <xf numFmtId="0" fontId="7" fillId="0" borderId="0">
      <alignment vertical="center"/>
    </xf>
    <xf numFmtId="0" fontId="14" fillId="0" borderId="29" applyNumberFormat="0" applyFill="0" applyAlignment="0" applyProtection="0">
      <alignment vertical="center"/>
    </xf>
    <xf numFmtId="0" fontId="15" fillId="0" borderId="30" applyNumberFormat="0" applyFill="0" applyAlignment="0" applyProtection="0">
      <alignment vertical="center"/>
    </xf>
    <xf numFmtId="0" fontId="16" fillId="0" borderId="31" applyNumberFormat="0" applyFill="0" applyAlignment="0" applyProtection="0">
      <alignment vertical="center"/>
    </xf>
    <xf numFmtId="0" fontId="16" fillId="0" borderId="0" applyNumberFormat="0" applyFill="0" applyBorder="0" applyAlignment="0" applyProtection="0">
      <alignment vertical="center"/>
    </xf>
    <xf numFmtId="0" fontId="17" fillId="5" borderId="0" applyNumberFormat="0" applyBorder="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32" applyNumberFormat="0" applyAlignment="0" applyProtection="0">
      <alignment vertical="center"/>
    </xf>
    <xf numFmtId="0" fontId="21" fillId="9" borderId="33" applyNumberFormat="0" applyAlignment="0" applyProtection="0">
      <alignment vertical="center"/>
    </xf>
    <xf numFmtId="0" fontId="22" fillId="9" borderId="32" applyNumberFormat="0" applyAlignment="0" applyProtection="0">
      <alignment vertical="center"/>
    </xf>
    <xf numFmtId="0" fontId="23" fillId="0" borderId="34" applyNumberFormat="0" applyFill="0" applyAlignment="0" applyProtection="0">
      <alignment vertical="center"/>
    </xf>
    <xf numFmtId="0" fontId="24" fillId="10" borderId="35" applyNumberForma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37" applyNumberFormat="0" applyFill="0" applyAlignment="0" applyProtection="0">
      <alignment vertical="center"/>
    </xf>
    <xf numFmtId="0" fontId="28" fillId="12" borderId="0" applyNumberFormat="0" applyBorder="0" applyAlignment="0" applyProtection="0">
      <alignment vertical="center"/>
    </xf>
    <xf numFmtId="0" fontId="6" fillId="13" borderId="0" applyNumberFormat="0" applyBorder="0" applyAlignment="0" applyProtection="0">
      <alignment vertical="center"/>
    </xf>
    <xf numFmtId="0" fontId="6"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6" fillId="33" borderId="0" applyNumberFormat="0" applyBorder="0" applyAlignment="0" applyProtection="0">
      <alignment vertical="center"/>
    </xf>
    <xf numFmtId="0" fontId="6" fillId="34" borderId="0" applyNumberFormat="0" applyBorder="0" applyAlignment="0" applyProtection="0">
      <alignment vertical="center"/>
    </xf>
    <xf numFmtId="0" fontId="28" fillId="35" borderId="0" applyNumberFormat="0" applyBorder="0" applyAlignment="0" applyProtection="0">
      <alignment vertical="center"/>
    </xf>
    <xf numFmtId="0" fontId="6" fillId="0" borderId="0">
      <alignment vertical="center"/>
    </xf>
    <xf numFmtId="0" fontId="30" fillId="0" borderId="0" applyNumberFormat="0" applyFill="0" applyBorder="0" applyAlignment="0" applyProtection="0">
      <alignment vertical="center"/>
    </xf>
    <xf numFmtId="0" fontId="6" fillId="11" borderId="36" applyNumberFormat="0" applyFont="0" applyAlignment="0" applyProtection="0">
      <alignment vertical="center"/>
    </xf>
    <xf numFmtId="0" fontId="29" fillId="0" borderId="0">
      <alignment vertical="center"/>
    </xf>
    <xf numFmtId="38" fontId="29" fillId="0" borderId="0" applyFont="0" applyFill="0" applyBorder="0" applyAlignment="0" applyProtection="0">
      <alignment vertical="center"/>
    </xf>
    <xf numFmtId="38" fontId="6" fillId="0" borderId="0" applyFont="0" applyFill="0" applyBorder="0" applyAlignment="0" applyProtection="0">
      <alignment vertical="center"/>
    </xf>
    <xf numFmtId="0" fontId="11" fillId="0" borderId="0">
      <alignment vertical="center"/>
    </xf>
    <xf numFmtId="0" fontId="32" fillId="0" borderId="0"/>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37" fillId="0" borderId="0" applyFont="0" applyFill="0" applyBorder="0" applyAlignment="0" applyProtection="0">
      <alignment vertical="center"/>
    </xf>
    <xf numFmtId="0" fontId="37" fillId="0" borderId="0"/>
    <xf numFmtId="0" fontId="5" fillId="0" borderId="0">
      <alignment vertical="center"/>
    </xf>
    <xf numFmtId="38" fontId="5" fillId="0" borderId="0" applyFont="0" applyFill="0" applyBorder="0" applyAlignment="0" applyProtection="0">
      <alignment vertical="center"/>
    </xf>
    <xf numFmtId="0" fontId="4" fillId="0" borderId="0">
      <alignment vertical="center"/>
    </xf>
    <xf numFmtId="38" fontId="4" fillId="0" borderId="0" applyFont="0" applyFill="0" applyBorder="0" applyAlignment="0" applyProtection="0">
      <alignment vertical="center"/>
    </xf>
    <xf numFmtId="0" fontId="38" fillId="0" borderId="0">
      <alignment vertical="center"/>
    </xf>
    <xf numFmtId="0" fontId="3" fillId="0" borderId="0">
      <alignment vertical="center"/>
    </xf>
    <xf numFmtId="0" fontId="3" fillId="0" borderId="0">
      <alignment vertical="center"/>
    </xf>
    <xf numFmtId="0" fontId="2" fillId="0" borderId="0">
      <alignment vertical="center"/>
    </xf>
    <xf numFmtId="38" fontId="2" fillId="0" borderId="0" applyFont="0" applyFill="0" applyBorder="0" applyAlignment="0" applyProtection="0">
      <alignment vertical="center"/>
    </xf>
    <xf numFmtId="0" fontId="38" fillId="0" borderId="0"/>
    <xf numFmtId="0" fontId="38" fillId="13" borderId="0" applyNumberFormat="0" applyBorder="0" applyAlignment="0" applyProtection="0">
      <alignment vertical="center"/>
    </xf>
    <xf numFmtId="0" fontId="38" fillId="17" borderId="0" applyNumberFormat="0" applyBorder="0" applyAlignment="0" applyProtection="0">
      <alignment vertical="center"/>
    </xf>
    <xf numFmtId="0" fontId="38" fillId="21" borderId="0" applyNumberFormat="0" applyBorder="0" applyAlignment="0" applyProtection="0">
      <alignment vertical="center"/>
    </xf>
    <xf numFmtId="0" fontId="38" fillId="25" borderId="0" applyNumberFormat="0" applyBorder="0" applyAlignment="0" applyProtection="0">
      <alignment vertical="center"/>
    </xf>
    <xf numFmtId="0" fontId="38" fillId="29" borderId="0" applyNumberFormat="0" applyBorder="0" applyAlignment="0" applyProtection="0">
      <alignment vertical="center"/>
    </xf>
    <xf numFmtId="0" fontId="38" fillId="33" borderId="0" applyNumberFormat="0" applyBorder="0" applyAlignment="0" applyProtection="0">
      <alignment vertical="center"/>
    </xf>
    <xf numFmtId="0" fontId="38" fillId="14" borderId="0" applyNumberFormat="0" applyBorder="0" applyAlignment="0" applyProtection="0">
      <alignment vertical="center"/>
    </xf>
    <xf numFmtId="0" fontId="38" fillId="18" borderId="0" applyNumberFormat="0" applyBorder="0" applyAlignment="0" applyProtection="0">
      <alignment vertical="center"/>
    </xf>
    <xf numFmtId="0" fontId="38" fillId="22" borderId="0" applyNumberFormat="0" applyBorder="0" applyAlignment="0" applyProtection="0">
      <alignment vertical="center"/>
    </xf>
    <xf numFmtId="0" fontId="38" fillId="26" borderId="0" applyNumberFormat="0" applyBorder="0" applyAlignment="0" applyProtection="0">
      <alignment vertical="center"/>
    </xf>
    <xf numFmtId="0" fontId="38" fillId="30" borderId="0" applyNumberFormat="0" applyBorder="0" applyAlignment="0" applyProtection="0">
      <alignment vertical="center"/>
    </xf>
    <xf numFmtId="0" fontId="38" fillId="34" borderId="0" applyNumberFormat="0" applyBorder="0" applyAlignment="0" applyProtection="0">
      <alignment vertical="center"/>
    </xf>
    <xf numFmtId="0" fontId="60" fillId="15" borderId="0" applyNumberFormat="0" applyBorder="0" applyAlignment="0" applyProtection="0">
      <alignment vertical="center"/>
    </xf>
    <xf numFmtId="0" fontId="60" fillId="19" borderId="0" applyNumberFormat="0" applyBorder="0" applyAlignment="0" applyProtection="0">
      <alignment vertical="center"/>
    </xf>
    <xf numFmtId="0" fontId="60" fillId="23" borderId="0" applyNumberFormat="0" applyBorder="0" applyAlignment="0" applyProtection="0">
      <alignment vertical="center"/>
    </xf>
    <xf numFmtId="0" fontId="60" fillId="27" borderId="0" applyNumberFormat="0" applyBorder="0" applyAlignment="0" applyProtection="0">
      <alignment vertical="center"/>
    </xf>
    <xf numFmtId="0" fontId="60" fillId="31" borderId="0" applyNumberFormat="0" applyBorder="0" applyAlignment="0" applyProtection="0">
      <alignment vertical="center"/>
    </xf>
    <xf numFmtId="0" fontId="60" fillId="35" borderId="0" applyNumberFormat="0" applyBorder="0" applyAlignment="0" applyProtection="0">
      <alignment vertical="center"/>
    </xf>
    <xf numFmtId="0" fontId="61" fillId="7" borderId="0" applyNumberFormat="0" applyBorder="0" applyAlignment="0" applyProtection="0">
      <alignment vertical="center"/>
    </xf>
    <xf numFmtId="0" fontId="60" fillId="12" borderId="0" applyNumberFormat="0" applyBorder="0" applyAlignment="0" applyProtection="0">
      <alignment vertical="center"/>
    </xf>
    <xf numFmtId="0" fontId="60" fillId="16" borderId="0" applyNumberFormat="0" applyBorder="0" applyAlignment="0" applyProtection="0">
      <alignment vertical="center"/>
    </xf>
    <xf numFmtId="0" fontId="60" fillId="20" borderId="0" applyNumberFormat="0" applyBorder="0" applyAlignment="0" applyProtection="0">
      <alignment vertical="center"/>
    </xf>
    <xf numFmtId="0" fontId="60" fillId="24" borderId="0" applyNumberFormat="0" applyBorder="0" applyAlignment="0" applyProtection="0">
      <alignment vertical="center"/>
    </xf>
    <xf numFmtId="0" fontId="60" fillId="28" borderId="0" applyNumberFormat="0" applyBorder="0" applyAlignment="0" applyProtection="0">
      <alignment vertical="center"/>
    </xf>
    <xf numFmtId="0" fontId="60" fillId="32" borderId="0" applyNumberFormat="0" applyBorder="0" applyAlignment="0" applyProtection="0">
      <alignment vertical="center"/>
    </xf>
    <xf numFmtId="0" fontId="62" fillId="0" borderId="0" applyNumberFormat="0" applyFill="0" applyBorder="0" applyAlignment="0" applyProtection="0">
      <alignment vertical="center"/>
    </xf>
    <xf numFmtId="0" fontId="63" fillId="10" borderId="35" applyNumberFormat="0" applyAlignment="0" applyProtection="0">
      <alignment vertical="center"/>
    </xf>
    <xf numFmtId="0" fontId="38" fillId="11" borderId="36" applyNumberFormat="0" applyFont="0" applyAlignment="0" applyProtection="0">
      <alignment vertical="center"/>
    </xf>
    <xf numFmtId="0" fontId="64" fillId="0" borderId="34" applyNumberFormat="0" applyFill="0" applyAlignment="0" applyProtection="0">
      <alignment vertical="center"/>
    </xf>
    <xf numFmtId="0" fontId="65" fillId="8" borderId="32" applyNumberFormat="0" applyAlignment="0" applyProtection="0">
      <alignment vertical="center"/>
    </xf>
    <xf numFmtId="0" fontId="66" fillId="9" borderId="33" applyNumberFormat="0" applyAlignment="0" applyProtection="0">
      <alignment vertical="center"/>
    </xf>
    <xf numFmtId="0" fontId="67" fillId="6" borderId="0" applyNumberFormat="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xf numFmtId="0" fontId="68" fillId="5" borderId="0" applyNumberFormat="0" applyBorder="0" applyAlignment="0" applyProtection="0">
      <alignment vertical="center"/>
    </xf>
    <xf numFmtId="0" fontId="69" fillId="0" borderId="29" applyNumberFormat="0" applyFill="0" applyAlignment="0" applyProtection="0">
      <alignment vertical="center"/>
    </xf>
    <xf numFmtId="0" fontId="70" fillId="0" borderId="30" applyNumberFormat="0" applyFill="0" applyAlignment="0" applyProtection="0">
      <alignment vertical="center"/>
    </xf>
    <xf numFmtId="0" fontId="71" fillId="0" borderId="31" applyNumberFormat="0" applyFill="0" applyAlignment="0" applyProtection="0">
      <alignment vertical="center"/>
    </xf>
    <xf numFmtId="0" fontId="71" fillId="0" borderId="0" applyNumberFormat="0" applyFill="0" applyBorder="0" applyAlignment="0" applyProtection="0">
      <alignment vertical="center"/>
    </xf>
    <xf numFmtId="0" fontId="72" fillId="9" borderId="32" applyNumberFormat="0" applyAlignment="0" applyProtection="0">
      <alignment vertical="center"/>
    </xf>
    <xf numFmtId="0" fontId="73"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5" fillId="0" borderId="37" applyNumberFormat="0" applyFill="0" applyAlignment="0" applyProtection="0">
      <alignment vertical="center"/>
    </xf>
    <xf numFmtId="38" fontId="38" fillId="0" borderId="0" applyFont="0" applyFill="0" applyBorder="0" applyAlignment="0" applyProtection="0">
      <alignment vertical="center"/>
    </xf>
    <xf numFmtId="9" fontId="38"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13" borderId="0" applyNumberFormat="0" applyBorder="0" applyAlignment="0" applyProtection="0">
      <alignment vertical="center"/>
    </xf>
    <xf numFmtId="0" fontId="1" fillId="14" borderId="0" applyNumberFormat="0" applyBorder="0" applyAlignment="0" applyProtection="0">
      <alignment vertical="center"/>
    </xf>
    <xf numFmtId="0" fontId="1" fillId="17" borderId="0" applyNumberFormat="0" applyBorder="0" applyAlignment="0" applyProtection="0">
      <alignment vertical="center"/>
    </xf>
    <xf numFmtId="0" fontId="1" fillId="18"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1" fillId="25" borderId="0" applyNumberFormat="0" applyBorder="0" applyAlignment="0" applyProtection="0">
      <alignment vertical="center"/>
    </xf>
    <xf numFmtId="0" fontId="1" fillId="26" borderId="0" applyNumberFormat="0" applyBorder="0" applyAlignment="0" applyProtection="0">
      <alignment vertical="center"/>
    </xf>
    <xf numFmtId="0" fontId="1" fillId="29" borderId="0" applyNumberFormat="0" applyBorder="0" applyAlignment="0" applyProtection="0">
      <alignment vertical="center"/>
    </xf>
    <xf numFmtId="0" fontId="1" fillId="30" borderId="0" applyNumberFormat="0" applyBorder="0" applyAlignment="0" applyProtection="0">
      <alignment vertical="center"/>
    </xf>
    <xf numFmtId="0" fontId="1" fillId="33" borderId="0" applyNumberFormat="0" applyBorder="0" applyAlignment="0" applyProtection="0">
      <alignment vertical="center"/>
    </xf>
    <xf numFmtId="0" fontId="1" fillId="34" borderId="0" applyNumberFormat="0" applyBorder="0" applyAlignment="0" applyProtection="0">
      <alignment vertical="center"/>
    </xf>
    <xf numFmtId="0" fontId="1" fillId="0" borderId="0">
      <alignment vertical="center"/>
    </xf>
    <xf numFmtId="0" fontId="1" fillId="11" borderId="36" applyNumberFormat="0" applyFont="0" applyAlignment="0" applyProtection="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38" fillId="13" borderId="0" applyNumberFormat="0" applyBorder="0" applyAlignment="0" applyProtection="0">
      <alignment vertical="center"/>
    </xf>
    <xf numFmtId="0" fontId="38" fillId="17" borderId="0" applyNumberFormat="0" applyBorder="0" applyAlignment="0" applyProtection="0">
      <alignment vertical="center"/>
    </xf>
    <xf numFmtId="0" fontId="38" fillId="21" borderId="0" applyNumberFormat="0" applyBorder="0" applyAlignment="0" applyProtection="0">
      <alignment vertical="center"/>
    </xf>
    <xf numFmtId="0" fontId="38" fillId="25" borderId="0" applyNumberFormat="0" applyBorder="0" applyAlignment="0" applyProtection="0">
      <alignment vertical="center"/>
    </xf>
    <xf numFmtId="0" fontId="38" fillId="29" borderId="0" applyNumberFormat="0" applyBorder="0" applyAlignment="0" applyProtection="0">
      <alignment vertical="center"/>
    </xf>
    <xf numFmtId="0" fontId="38" fillId="33" borderId="0" applyNumberFormat="0" applyBorder="0" applyAlignment="0" applyProtection="0">
      <alignment vertical="center"/>
    </xf>
    <xf numFmtId="0" fontId="38" fillId="14" borderId="0" applyNumberFormat="0" applyBorder="0" applyAlignment="0" applyProtection="0">
      <alignment vertical="center"/>
    </xf>
    <xf numFmtId="0" fontId="38" fillId="18" borderId="0" applyNumberFormat="0" applyBorder="0" applyAlignment="0" applyProtection="0">
      <alignment vertical="center"/>
    </xf>
    <xf numFmtId="0" fontId="38" fillId="22" borderId="0" applyNumberFormat="0" applyBorder="0" applyAlignment="0" applyProtection="0">
      <alignment vertical="center"/>
    </xf>
    <xf numFmtId="0" fontId="38" fillId="26" borderId="0" applyNumberFormat="0" applyBorder="0" applyAlignment="0" applyProtection="0">
      <alignment vertical="center"/>
    </xf>
    <xf numFmtId="0" fontId="38" fillId="30" borderId="0" applyNumberFormat="0" applyBorder="0" applyAlignment="0" applyProtection="0">
      <alignment vertical="center"/>
    </xf>
    <xf numFmtId="0" fontId="38" fillId="34" borderId="0" applyNumberFormat="0" applyBorder="0" applyAlignment="0" applyProtection="0">
      <alignment vertical="center"/>
    </xf>
    <xf numFmtId="0" fontId="38" fillId="11" borderId="36" applyNumberFormat="0" applyFont="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cellStyleXfs>
  <cellXfs count="391">
    <xf numFmtId="0" fontId="0" fillId="0" borderId="0" xfId="0"/>
    <xf numFmtId="49" fontId="11" fillId="0" borderId="2" xfId="51" applyNumberFormat="1" applyBorder="1">
      <alignment vertical="center"/>
    </xf>
    <xf numFmtId="0" fontId="11" fillId="3" borderId="2" xfId="51" applyFill="1" applyBorder="1">
      <alignment vertical="center"/>
    </xf>
    <xf numFmtId="49" fontId="11" fillId="36" borderId="2" xfId="51" applyNumberFormat="1" applyFill="1" applyBorder="1" applyAlignment="1">
      <alignment vertical="center"/>
    </xf>
    <xf numFmtId="49" fontId="11" fillId="36" borderId="2" xfId="51" applyNumberFormat="1" applyFill="1" applyBorder="1" applyAlignment="1">
      <alignment vertical="center" wrapText="1"/>
    </xf>
    <xf numFmtId="49" fontId="33" fillId="3" borderId="2" xfId="52" applyNumberFormat="1" applyFont="1" applyFill="1" applyBorder="1" applyAlignment="1">
      <alignment vertical="center"/>
    </xf>
    <xf numFmtId="49" fontId="34" fillId="0" borderId="0" xfId="0" applyNumberFormat="1" applyFont="1" applyFill="1" applyBorder="1" applyAlignment="1" applyProtection="1">
      <alignment horizontal="center" vertical="center"/>
    </xf>
    <xf numFmtId="0" fontId="36" fillId="0" borderId="0" xfId="0" applyFont="1" applyAlignment="1" applyProtection="1">
      <alignment vertical="center"/>
      <protection locked="0"/>
    </xf>
    <xf numFmtId="0" fontId="40" fillId="0" borderId="0" xfId="0" applyFont="1" applyAlignment="1" applyProtection="1">
      <alignment vertical="center"/>
      <protection locked="0"/>
    </xf>
    <xf numFmtId="0" fontId="36" fillId="0" borderId="0" xfId="0" applyFont="1" applyAlignment="1" applyProtection="1">
      <alignment horizontal="center" vertical="center"/>
      <protection locked="0"/>
    </xf>
    <xf numFmtId="0" fontId="42" fillId="0" borderId="0" xfId="0" applyFont="1" applyAlignment="1" applyProtection="1">
      <alignment horizontal="left" vertical="center"/>
      <protection locked="0"/>
    </xf>
    <xf numFmtId="0" fontId="43" fillId="0" borderId="0" xfId="0" applyFont="1" applyAlignment="1" applyProtection="1">
      <alignment horizontal="right" vertical="center"/>
      <protection locked="0"/>
    </xf>
    <xf numFmtId="0" fontId="44" fillId="0" borderId="0" xfId="0" applyFont="1" applyAlignment="1" applyProtection="1">
      <alignment vertical="center"/>
      <protection locked="0"/>
    </xf>
    <xf numFmtId="0" fontId="44" fillId="0" borderId="0" xfId="0" applyFont="1" applyFill="1" applyAlignment="1" applyProtection="1">
      <alignment vertical="center"/>
      <protection locked="0"/>
    </xf>
    <xf numFmtId="0" fontId="44" fillId="0" borderId="0" xfId="0" applyFont="1" applyAlignment="1" applyProtection="1">
      <alignment horizontal="center" vertical="center"/>
      <protection locked="0"/>
    </xf>
    <xf numFmtId="0" fontId="36" fillId="0" borderId="0" xfId="0" applyFont="1" applyFill="1" applyAlignment="1" applyProtection="1">
      <alignment vertical="center"/>
      <protection locked="0"/>
    </xf>
    <xf numFmtId="0" fontId="44" fillId="0" borderId="0" xfId="0" applyFont="1" applyFill="1" applyBorder="1" applyAlignment="1" applyProtection="1">
      <alignment horizontal="center" vertical="center"/>
      <protection locked="0"/>
    </xf>
    <xf numFmtId="0" fontId="46" fillId="0" borderId="0" xfId="0" applyFont="1" applyBorder="1" applyAlignment="1" applyProtection="1">
      <alignment vertical="center"/>
      <protection locked="0"/>
    </xf>
    <xf numFmtId="0" fontId="47" fillId="0" borderId="0" xfId="0" applyFont="1" applyAlignment="1" applyProtection="1">
      <alignment vertical="center"/>
      <protection locked="0"/>
    </xf>
    <xf numFmtId="0" fontId="34" fillId="0" borderId="0" xfId="0" applyFont="1" applyFill="1" applyBorder="1" applyAlignment="1" applyProtection="1">
      <alignment horizontal="center" vertical="center"/>
      <protection locked="0"/>
    </xf>
    <xf numFmtId="0" fontId="34" fillId="0" borderId="0" xfId="70" applyFont="1" applyFill="1" applyBorder="1" applyAlignment="1" applyProtection="1">
      <alignment vertical="center"/>
      <protection locked="0"/>
    </xf>
    <xf numFmtId="0" fontId="34" fillId="0" borderId="0" xfId="0" applyFont="1" applyBorder="1" applyAlignment="1" applyProtection="1">
      <alignment vertical="center" wrapText="1"/>
      <protection locked="0"/>
    </xf>
    <xf numFmtId="0" fontId="34" fillId="0" borderId="0" xfId="0" applyFont="1" applyBorder="1" applyAlignment="1" applyProtection="1">
      <alignment horizontal="left" vertical="center" wrapText="1"/>
      <protection locked="0"/>
    </xf>
    <xf numFmtId="0" fontId="48" fillId="0" borderId="0" xfId="0" applyFont="1" applyAlignment="1" applyProtection="1">
      <alignment vertical="center"/>
      <protection locked="0"/>
    </xf>
    <xf numFmtId="0" fontId="48" fillId="0" borderId="0" xfId="70" applyFont="1" applyFill="1" applyBorder="1" applyAlignment="1" applyProtection="1">
      <alignment vertical="center"/>
      <protection locked="0"/>
    </xf>
    <xf numFmtId="0" fontId="48" fillId="0" borderId="0" xfId="0" applyFont="1" applyBorder="1" applyAlignment="1" applyProtection="1">
      <alignment horizontal="left" vertical="center" wrapText="1"/>
      <protection locked="0"/>
    </xf>
    <xf numFmtId="0" fontId="48" fillId="0" borderId="0" xfId="0" applyFont="1" applyFill="1" applyBorder="1" applyAlignment="1" applyProtection="1">
      <alignment horizontal="center" vertical="center"/>
      <protection locked="0"/>
    </xf>
    <xf numFmtId="0" fontId="48" fillId="0" borderId="0" xfId="0" applyFont="1" applyBorder="1" applyAlignment="1" applyProtection="1">
      <alignment vertical="center" wrapText="1"/>
      <protection locked="0"/>
    </xf>
    <xf numFmtId="0" fontId="47" fillId="0" borderId="0" xfId="0" applyFont="1" applyFill="1" applyAlignment="1" applyProtection="1">
      <alignment vertical="center"/>
      <protection locked="0"/>
    </xf>
    <xf numFmtId="0" fontId="34" fillId="0" borderId="0" xfId="0" applyFont="1" applyFill="1" applyBorder="1" applyAlignment="1" applyProtection="1">
      <alignment horizontal="center" vertical="center" wrapText="1"/>
      <protection locked="0"/>
    </xf>
    <xf numFmtId="0" fontId="34" fillId="0" borderId="0" xfId="0" applyFont="1" applyFill="1" applyBorder="1" applyAlignment="1" applyProtection="1">
      <alignment horizontal="left" vertical="center" wrapText="1"/>
      <protection locked="0"/>
    </xf>
    <xf numFmtId="0" fontId="34" fillId="0" borderId="0" xfId="0" applyFont="1" applyBorder="1" applyAlignment="1" applyProtection="1">
      <alignment horizontal="center" vertical="center"/>
      <protection locked="0"/>
    </xf>
    <xf numFmtId="0" fontId="47" fillId="0" borderId="0" xfId="0" applyFont="1" applyBorder="1" applyAlignment="1" applyProtection="1">
      <alignment vertical="center"/>
      <protection locked="0"/>
    </xf>
    <xf numFmtId="0" fontId="34" fillId="0" borderId="0" xfId="0" applyFont="1" applyBorder="1" applyAlignment="1" applyProtection="1">
      <alignment vertical="center"/>
      <protection locked="0"/>
    </xf>
    <xf numFmtId="0" fontId="50" fillId="0" borderId="0" xfId="0" applyFont="1" applyAlignment="1" applyProtection="1">
      <alignment vertical="center"/>
      <protection locked="0"/>
    </xf>
    <xf numFmtId="0" fontId="51" fillId="0" borderId="0" xfId="0" applyFont="1" applyAlignment="1" applyProtection="1">
      <alignment vertical="center"/>
      <protection locked="0"/>
    </xf>
    <xf numFmtId="0" fontId="50" fillId="0" borderId="0" xfId="0" applyFont="1" applyFill="1" applyBorder="1" applyAlignment="1" applyProtection="1">
      <alignment horizontal="left" vertical="center"/>
      <protection locked="0"/>
    </xf>
    <xf numFmtId="0" fontId="51" fillId="0" borderId="0" xfId="0" applyFont="1" applyAlignment="1" applyProtection="1">
      <alignment horizontal="center" vertical="center"/>
      <protection locked="0"/>
    </xf>
    <xf numFmtId="0" fontId="46" fillId="0" borderId="0" xfId="0" applyFont="1" applyAlignment="1" applyProtection="1">
      <alignment vertical="center"/>
      <protection locked="0"/>
    </xf>
    <xf numFmtId="0" fontId="45" fillId="0" borderId="0" xfId="0" applyFont="1" applyAlignment="1" applyProtection="1">
      <alignment vertical="center"/>
      <protection locked="0"/>
    </xf>
    <xf numFmtId="0" fontId="47" fillId="0" borderId="0" xfId="0" applyFont="1" applyAlignment="1" applyProtection="1">
      <alignment horizontal="center" vertical="center"/>
      <protection locked="0"/>
    </xf>
    <xf numFmtId="0" fontId="34" fillId="0" borderId="0" xfId="0" applyFont="1" applyAlignment="1" applyProtection="1">
      <alignment horizontal="center" vertical="center"/>
      <protection locked="0"/>
    </xf>
    <xf numFmtId="0" fontId="34" fillId="0" borderId="0" xfId="0" applyFont="1" applyAlignment="1" applyProtection="1">
      <alignment vertical="center"/>
      <protection locked="0"/>
    </xf>
    <xf numFmtId="0" fontId="34" fillId="0" borderId="5" xfId="0" applyFont="1" applyFill="1" applyBorder="1" applyAlignment="1" applyProtection="1">
      <alignment horizontal="left" vertical="center"/>
      <protection locked="0"/>
    </xf>
    <xf numFmtId="0" fontId="34" fillId="0" borderId="5" xfId="0" applyFont="1" applyFill="1" applyBorder="1" applyAlignment="1" applyProtection="1">
      <alignment horizontal="center" vertical="center"/>
      <protection locked="0"/>
    </xf>
    <xf numFmtId="0" fontId="47" fillId="0" borderId="0" xfId="0" applyFont="1" applyFill="1" applyBorder="1" applyAlignment="1" applyProtection="1">
      <alignment vertical="center"/>
      <protection locked="0"/>
    </xf>
    <xf numFmtId="0" fontId="36" fillId="0" borderId="0" xfId="0" applyFont="1" applyFill="1" applyBorder="1" applyAlignment="1" applyProtection="1">
      <alignment vertical="center"/>
      <protection locked="0"/>
    </xf>
    <xf numFmtId="0" fontId="47" fillId="0" borderId="0" xfId="0" applyFont="1" applyBorder="1" applyAlignment="1" applyProtection="1">
      <alignment horizontal="center" vertical="center"/>
      <protection locked="0"/>
    </xf>
    <xf numFmtId="0" fontId="51" fillId="4" borderId="0" xfId="0" applyFont="1" applyFill="1" applyAlignment="1" applyProtection="1">
      <alignment horizontal="center" vertical="center"/>
      <protection locked="0"/>
    </xf>
    <xf numFmtId="0" fontId="48" fillId="0" borderId="0" xfId="0" applyFont="1" applyAlignment="1" applyProtection="1">
      <alignment horizontal="left" vertical="center" wrapText="1"/>
      <protection locked="0"/>
    </xf>
    <xf numFmtId="0" fontId="47" fillId="0" borderId="0" xfId="0" applyFont="1" applyFill="1" applyAlignment="1" applyProtection="1">
      <alignment horizontal="center" vertical="center"/>
      <protection locked="0"/>
    </xf>
    <xf numFmtId="0" fontId="51" fillId="0" borderId="0" xfId="0" applyFont="1" applyFill="1" applyAlignment="1" applyProtection="1">
      <alignment horizontal="center" vertical="center"/>
      <protection locked="0"/>
    </xf>
    <xf numFmtId="0" fontId="48" fillId="0" borderId="0" xfId="0" applyFont="1" applyFill="1" applyAlignment="1" applyProtection="1">
      <alignment horizontal="left" vertical="center"/>
      <protection locked="0"/>
    </xf>
    <xf numFmtId="0" fontId="48" fillId="0" borderId="0" xfId="0" applyFont="1" applyAlignment="1" applyProtection="1">
      <alignment horizontal="center" vertical="center"/>
      <protection locked="0"/>
    </xf>
    <xf numFmtId="0" fontId="34" fillId="0" borderId="0" xfId="0" applyFont="1" applyFill="1" applyAlignment="1" applyProtection="1">
      <alignment horizontal="center" vertical="center"/>
      <protection locked="0"/>
    </xf>
    <xf numFmtId="0" fontId="34" fillId="0" borderId="0" xfId="0" applyFont="1" applyFill="1" applyAlignment="1" applyProtection="1">
      <alignment vertical="center"/>
      <protection locked="0"/>
    </xf>
    <xf numFmtId="0" fontId="48" fillId="4" borderId="0" xfId="0" applyFont="1" applyFill="1" applyAlignment="1" applyProtection="1">
      <alignment horizontal="center" vertical="center"/>
      <protection locked="0"/>
    </xf>
    <xf numFmtId="0" fontId="34" fillId="0" borderId="0" xfId="0" applyFont="1" applyFill="1" applyAlignment="1" applyProtection="1">
      <alignment horizontal="left" vertical="center"/>
      <protection locked="0"/>
    </xf>
    <xf numFmtId="0" fontId="47" fillId="0" borderId="0" xfId="0" applyFont="1" applyAlignment="1" applyProtection="1">
      <alignment horizontal="left" vertical="center"/>
      <protection locked="0"/>
    </xf>
    <xf numFmtId="0" fontId="48" fillId="0" borderId="0" xfId="0" applyFont="1" applyFill="1" applyAlignment="1" applyProtection="1">
      <alignment vertical="center"/>
      <protection locked="0"/>
    </xf>
    <xf numFmtId="0" fontId="47" fillId="0" borderId="0" xfId="0" applyFont="1" applyAlignment="1" applyProtection="1">
      <alignment vertical="top"/>
      <protection locked="0"/>
    </xf>
    <xf numFmtId="0" fontId="47" fillId="0" borderId="0" xfId="0" applyFont="1" applyFill="1" applyAlignment="1" applyProtection="1">
      <alignment vertical="top"/>
      <protection locked="0"/>
    </xf>
    <xf numFmtId="0" fontId="36" fillId="0" borderId="0" xfId="0" applyFont="1" applyFill="1" applyAlignment="1" applyProtection="1">
      <alignment horizontal="center" vertical="center"/>
      <protection locked="0"/>
    </xf>
    <xf numFmtId="0" fontId="55" fillId="0" borderId="43" xfId="0" applyFont="1" applyBorder="1" applyAlignment="1" applyProtection="1">
      <alignment horizontal="center" vertical="center"/>
      <protection locked="0"/>
    </xf>
    <xf numFmtId="0" fontId="56" fillId="0" borderId="18" xfId="0" applyFont="1" applyBorder="1" applyAlignment="1" applyProtection="1">
      <alignment horizontal="center" vertical="center" shrinkToFit="1"/>
      <protection locked="0"/>
    </xf>
    <xf numFmtId="0" fontId="35" fillId="0" borderId="19" xfId="0" applyFont="1" applyBorder="1" applyAlignment="1" applyProtection="1">
      <alignment horizontal="center" vertical="center" shrinkToFit="1"/>
    </xf>
    <xf numFmtId="0" fontId="56" fillId="0" borderId="19" xfId="0" applyFont="1" applyBorder="1" applyAlignment="1" applyProtection="1">
      <alignment horizontal="center" vertical="center" shrinkToFit="1"/>
      <protection locked="0"/>
    </xf>
    <xf numFmtId="0" fontId="35" fillId="0" borderId="17" xfId="0" applyFont="1" applyBorder="1" applyAlignment="1" applyProtection="1">
      <alignment horizontal="center" vertical="center" shrinkToFit="1"/>
    </xf>
    <xf numFmtId="0" fontId="56" fillId="0" borderId="23" xfId="0" applyFont="1" applyBorder="1" applyAlignment="1" applyProtection="1">
      <alignment horizontal="center" vertical="center" shrinkToFit="1"/>
      <protection locked="0"/>
    </xf>
    <xf numFmtId="0" fontId="35" fillId="0" borderId="24" xfId="0" applyFont="1" applyBorder="1" applyAlignment="1" applyProtection="1">
      <alignment horizontal="center" vertical="center" shrinkToFit="1"/>
    </xf>
    <xf numFmtId="0" fontId="56" fillId="0" borderId="24" xfId="0" applyFont="1" applyBorder="1" applyAlignment="1" applyProtection="1">
      <alignment horizontal="center" vertical="center" shrinkToFit="1"/>
      <protection locked="0"/>
    </xf>
    <xf numFmtId="0" fontId="35" fillId="0" borderId="22" xfId="0" applyFont="1" applyBorder="1" applyAlignment="1" applyProtection="1">
      <alignment horizontal="center" vertical="center" shrinkToFit="1"/>
    </xf>
    <xf numFmtId="0" fontId="36" fillId="0" borderId="2" xfId="0" applyFont="1" applyBorder="1" applyAlignment="1" applyProtection="1">
      <alignment horizontal="center" vertical="center"/>
      <protection locked="0"/>
    </xf>
    <xf numFmtId="0" fontId="36" fillId="0" borderId="2" xfId="0" applyFont="1" applyBorder="1" applyAlignment="1" applyProtection="1">
      <alignment horizontal="center" vertical="center" wrapText="1"/>
      <protection locked="0"/>
    </xf>
    <xf numFmtId="176" fontId="36" fillId="0" borderId="27" xfId="0" applyNumberFormat="1" applyFont="1" applyBorder="1" applyAlignment="1" applyProtection="1">
      <alignment horizontal="center" vertical="center"/>
    </xf>
    <xf numFmtId="176" fontId="36" fillId="0" borderId="2" xfId="0" applyNumberFormat="1" applyFont="1" applyBorder="1" applyAlignment="1" applyProtection="1">
      <alignment vertical="center"/>
      <protection locked="0"/>
    </xf>
    <xf numFmtId="38" fontId="36" fillId="0" borderId="2" xfId="1" applyFont="1" applyBorder="1" applyAlignment="1" applyProtection="1">
      <alignment vertical="center"/>
      <protection locked="0"/>
    </xf>
    <xf numFmtId="38" fontId="36" fillId="0" borderId="0" xfId="0" applyNumberFormat="1" applyFont="1" applyAlignment="1" applyProtection="1">
      <alignment vertical="center"/>
      <protection locked="0"/>
    </xf>
    <xf numFmtId="38" fontId="35" fillId="0" borderId="17" xfId="1" applyFont="1" applyBorder="1" applyAlignment="1" applyProtection="1">
      <alignment horizontal="center" vertical="center"/>
    </xf>
    <xf numFmtId="38" fontId="35" fillId="0" borderId="22" xfId="1" applyFont="1" applyBorder="1" applyAlignment="1" applyProtection="1">
      <alignment horizontal="center" vertical="center"/>
    </xf>
    <xf numFmtId="0" fontId="36" fillId="0" borderId="3" xfId="0" applyFont="1" applyFill="1" applyBorder="1" applyAlignment="1" applyProtection="1">
      <alignment horizontal="center" vertical="center" textRotation="255" wrapText="1"/>
      <protection locked="0"/>
    </xf>
    <xf numFmtId="179" fontId="57" fillId="3" borderId="2" xfId="0" applyNumberFormat="1" applyFont="1" applyFill="1" applyBorder="1" applyAlignment="1" applyProtection="1">
      <alignment horizontal="center" vertical="center"/>
      <protection locked="0"/>
    </xf>
    <xf numFmtId="0" fontId="36" fillId="0" borderId="0" xfId="0" applyFont="1" applyFill="1" applyBorder="1" applyAlignment="1" applyProtection="1">
      <alignment horizontal="center" vertical="center" textRotation="255"/>
      <protection locked="0"/>
    </xf>
    <xf numFmtId="0" fontId="36" fillId="0" borderId="2" xfId="0" applyFont="1" applyBorder="1" applyAlignment="1" applyProtection="1">
      <alignment vertical="center"/>
      <protection locked="0"/>
    </xf>
    <xf numFmtId="0" fontId="35" fillId="0" borderId="0" xfId="0" applyFont="1" applyFill="1" applyBorder="1" applyAlignment="1" applyProtection="1">
      <alignment horizontal="center" vertical="center" wrapText="1"/>
      <protection locked="0"/>
    </xf>
    <xf numFmtId="56" fontId="35" fillId="0" borderId="0" xfId="0" applyNumberFormat="1" applyFont="1" applyFill="1" applyBorder="1" applyAlignment="1" applyProtection="1">
      <alignment horizontal="center" vertical="center"/>
    </xf>
    <xf numFmtId="0" fontId="35" fillId="0" borderId="0" xfId="0" applyFont="1" applyFill="1" applyBorder="1" applyAlignment="1" applyProtection="1">
      <alignment horizontal="center" vertical="center"/>
    </xf>
    <xf numFmtId="0" fontId="34" fillId="0" borderId="0" xfId="0" applyFont="1" applyFill="1" applyBorder="1" applyAlignment="1" applyProtection="1">
      <alignment horizontal="left" vertical="center"/>
      <protection locked="0"/>
    </xf>
    <xf numFmtId="0" fontId="51" fillId="0" borderId="0" xfId="0" applyFont="1" applyAlignment="1" applyProtection="1">
      <alignment horizontal="left" vertical="center"/>
      <protection locked="0"/>
    </xf>
    <xf numFmtId="0" fontId="51" fillId="0" borderId="0" xfId="0" applyFont="1" applyFill="1" applyAlignment="1" applyProtection="1">
      <alignment vertical="center"/>
      <protection locked="0"/>
    </xf>
    <xf numFmtId="0" fontId="48" fillId="0" borderId="0" xfId="0" applyFont="1" applyFill="1" applyBorder="1" applyAlignment="1" applyProtection="1">
      <alignment horizontal="left" vertical="center"/>
      <protection locked="0"/>
    </xf>
    <xf numFmtId="0" fontId="48" fillId="0" borderId="14" xfId="0" applyFont="1" applyFill="1" applyBorder="1" applyAlignment="1" applyProtection="1">
      <alignment horizontal="center" vertical="center" wrapText="1"/>
      <protection locked="0"/>
    </xf>
    <xf numFmtId="0" fontId="48" fillId="0" borderId="14" xfId="0" applyFont="1" applyFill="1" applyBorder="1" applyAlignment="1" applyProtection="1">
      <alignment horizontal="center" vertical="center"/>
      <protection locked="0"/>
    </xf>
    <xf numFmtId="0" fontId="51" fillId="0" borderId="0" xfId="0" applyFont="1" applyFill="1" applyBorder="1" applyAlignment="1" applyProtection="1">
      <alignment vertical="center"/>
      <protection locked="0"/>
    </xf>
    <xf numFmtId="181" fontId="48" fillId="0" borderId="14" xfId="1" applyNumberFormat="1" applyFont="1" applyFill="1" applyBorder="1" applyAlignment="1" applyProtection="1">
      <alignment horizontal="right" vertical="center"/>
      <protection locked="0"/>
    </xf>
    <xf numFmtId="181" fontId="48" fillId="0" borderId="0" xfId="1" applyNumberFormat="1" applyFont="1" applyFill="1" applyBorder="1" applyAlignment="1" applyProtection="1">
      <alignment horizontal="right" vertical="center"/>
      <protection locked="0"/>
    </xf>
    <xf numFmtId="38" fontId="51" fillId="0" borderId="0" xfId="1" applyFont="1" applyFill="1" applyBorder="1" applyAlignment="1" applyProtection="1">
      <alignment vertical="center"/>
    </xf>
    <xf numFmtId="0" fontId="56" fillId="0" borderId="18" xfId="0" applyFont="1" applyFill="1" applyBorder="1" applyAlignment="1" applyProtection="1">
      <alignment horizontal="center" vertical="center" shrinkToFit="1"/>
      <protection locked="0"/>
    </xf>
    <xf numFmtId="0" fontId="35" fillId="0" borderId="19" xfId="0" applyFont="1" applyFill="1" applyBorder="1" applyAlignment="1" applyProtection="1">
      <alignment horizontal="center" vertical="center" shrinkToFit="1"/>
    </xf>
    <xf numFmtId="0" fontId="56" fillId="0" borderId="19" xfId="0" applyFont="1" applyFill="1" applyBorder="1" applyAlignment="1" applyProtection="1">
      <alignment horizontal="center" vertical="center" shrinkToFit="1"/>
      <protection locked="0"/>
    </xf>
    <xf numFmtId="0" fontId="35" fillId="0" borderId="17" xfId="0" applyFont="1" applyFill="1" applyBorder="1" applyAlignment="1" applyProtection="1">
      <alignment horizontal="center" vertical="center" shrinkToFit="1"/>
    </xf>
    <xf numFmtId="0" fontId="56" fillId="0" borderId="23" xfId="0" applyFont="1" applyFill="1" applyBorder="1" applyAlignment="1" applyProtection="1">
      <alignment horizontal="center" vertical="center" shrinkToFit="1"/>
      <protection locked="0"/>
    </xf>
    <xf numFmtId="0" fontId="35" fillId="0" borderId="24" xfId="0" applyFont="1" applyFill="1" applyBorder="1" applyAlignment="1" applyProtection="1">
      <alignment horizontal="center" vertical="center" shrinkToFit="1"/>
    </xf>
    <xf numFmtId="0" fontId="56" fillId="0" borderId="24" xfId="0" applyFont="1" applyFill="1" applyBorder="1" applyAlignment="1" applyProtection="1">
      <alignment horizontal="center" vertical="center" shrinkToFit="1"/>
      <protection locked="0"/>
    </xf>
    <xf numFmtId="0" fontId="35" fillId="0" borderId="22" xfId="0" applyFont="1" applyFill="1" applyBorder="1" applyAlignment="1" applyProtection="1">
      <alignment horizontal="center" vertical="center" shrinkToFit="1"/>
    </xf>
    <xf numFmtId="176" fontId="36" fillId="0" borderId="27" xfId="0" applyNumberFormat="1" applyFont="1" applyFill="1" applyBorder="1" applyAlignment="1" applyProtection="1">
      <alignment horizontal="center" vertical="center"/>
    </xf>
    <xf numFmtId="38" fontId="35" fillId="0" borderId="17" xfId="1" applyFont="1" applyFill="1" applyBorder="1" applyAlignment="1" applyProtection="1">
      <alignment horizontal="center" vertical="center"/>
    </xf>
    <xf numFmtId="38" fontId="35" fillId="0" borderId="22" xfId="1" applyFont="1" applyFill="1" applyBorder="1" applyAlignment="1" applyProtection="1">
      <alignment horizontal="center" vertical="center"/>
    </xf>
    <xf numFmtId="0" fontId="36" fillId="0" borderId="13" xfId="0" applyFont="1" applyFill="1" applyBorder="1" applyAlignment="1" applyProtection="1">
      <alignment horizontal="center" vertical="center" textRotation="255" wrapText="1"/>
      <protection locked="0"/>
    </xf>
    <xf numFmtId="183" fontId="58" fillId="0" borderId="2" xfId="50" applyNumberFormat="1" applyFont="1" applyFill="1" applyBorder="1" applyAlignment="1">
      <alignment horizontal="left" vertical="center" wrapText="1" shrinkToFit="1"/>
    </xf>
    <xf numFmtId="183" fontId="58" fillId="0" borderId="2" xfId="50" applyNumberFormat="1" applyFont="1" applyFill="1" applyBorder="1" applyAlignment="1">
      <alignment horizontal="center" vertical="center" shrinkToFit="1"/>
    </xf>
    <xf numFmtId="180" fontId="58" fillId="0" borderId="2" xfId="50" applyNumberFormat="1" applyFont="1" applyFill="1" applyBorder="1" applyAlignment="1">
      <alignment horizontal="right" vertical="center" shrinkToFit="1"/>
    </xf>
    <xf numFmtId="183" fontId="58" fillId="0" borderId="2" xfId="50" applyNumberFormat="1" applyFont="1" applyFill="1" applyBorder="1" applyAlignment="1">
      <alignment horizontal="right" vertical="center" wrapText="1" shrinkToFit="1"/>
    </xf>
    <xf numFmtId="180" fontId="58" fillId="0" borderId="8" xfId="50" applyNumberFormat="1" applyFont="1" applyFill="1" applyBorder="1" applyAlignment="1">
      <alignment horizontal="right" vertical="center" wrapText="1" shrinkToFit="1"/>
    </xf>
    <xf numFmtId="183" fontId="58" fillId="0" borderId="2" xfId="50" applyNumberFormat="1" applyFont="1" applyFill="1" applyBorder="1" applyAlignment="1">
      <alignment horizontal="right" vertical="center" wrapText="1"/>
    </xf>
    <xf numFmtId="183" fontId="58" fillId="0" borderId="2" xfId="50" applyNumberFormat="1" applyFont="1" applyFill="1" applyBorder="1" applyAlignment="1">
      <alignment horizontal="center" vertical="center" wrapText="1" shrinkToFit="1"/>
    </xf>
    <xf numFmtId="180" fontId="58" fillId="0" borderId="2" xfId="50" applyNumberFormat="1" applyFont="1" applyFill="1" applyBorder="1" applyAlignment="1">
      <alignment horizontal="right" vertical="center" wrapText="1" shrinkToFit="1"/>
    </xf>
    <xf numFmtId="183" fontId="59" fillId="0" borderId="0" xfId="0" applyNumberFormat="1" applyFont="1" applyFill="1"/>
    <xf numFmtId="183" fontId="58" fillId="0" borderId="2" xfId="45" applyNumberFormat="1" applyFont="1" applyFill="1" applyBorder="1" applyAlignment="1">
      <alignment horizontal="right" vertical="center" shrinkToFit="1"/>
    </xf>
    <xf numFmtId="183" fontId="59" fillId="0" borderId="0" xfId="0" applyNumberFormat="1" applyFont="1" applyFill="1" applyAlignment="1">
      <alignment horizontal="center"/>
    </xf>
    <xf numFmtId="183" fontId="59" fillId="0" borderId="0" xfId="0" applyNumberFormat="1" applyFont="1" applyFill="1" applyAlignment="1">
      <alignment horizontal="center" vertical="center" wrapText="1"/>
    </xf>
    <xf numFmtId="49" fontId="58" fillId="0" borderId="2" xfId="45" applyNumberFormat="1" applyFont="1" applyFill="1" applyBorder="1" applyAlignment="1">
      <alignment horizontal="right" vertical="center" shrinkToFit="1"/>
    </xf>
    <xf numFmtId="49" fontId="59" fillId="0" borderId="0" xfId="0" applyNumberFormat="1" applyFont="1" applyFill="1"/>
    <xf numFmtId="49" fontId="58" fillId="0" borderId="0" xfId="0" applyNumberFormat="1" applyFont="1" applyFill="1" applyAlignment="1">
      <alignment vertical="center"/>
    </xf>
    <xf numFmtId="0" fontId="58" fillId="0" borderId="0" xfId="0" applyFont="1" applyFill="1" applyAlignment="1">
      <alignment vertical="center"/>
    </xf>
    <xf numFmtId="38" fontId="58" fillId="0" borderId="0" xfId="1" applyFont="1" applyFill="1" applyAlignment="1">
      <alignment vertical="center"/>
    </xf>
    <xf numFmtId="38" fontId="58" fillId="0" borderId="0" xfId="1" applyFont="1" applyFill="1">
      <alignment vertical="center"/>
    </xf>
    <xf numFmtId="0" fontId="58" fillId="0" borderId="0" xfId="0" applyFont="1" applyFill="1" applyAlignment="1">
      <alignment horizontal="right" vertical="center"/>
    </xf>
    <xf numFmtId="0" fontId="58" fillId="0" borderId="0" xfId="0" applyFont="1" applyFill="1" applyAlignment="1">
      <alignment horizontal="center" vertical="center"/>
    </xf>
    <xf numFmtId="9" fontId="58" fillId="0" borderId="0" xfId="4" applyFont="1" applyFill="1">
      <alignment vertical="center"/>
    </xf>
    <xf numFmtId="183" fontId="58" fillId="0" borderId="2" xfId="72" applyNumberFormat="1" applyFont="1" applyFill="1" applyBorder="1" applyAlignment="1">
      <alignment horizontal="center" vertical="center" wrapText="1"/>
    </xf>
    <xf numFmtId="183" fontId="58" fillId="0" borderId="8" xfId="72" applyNumberFormat="1" applyFont="1" applyFill="1" applyBorder="1" applyAlignment="1">
      <alignment horizontal="center" vertical="center" wrapText="1"/>
    </xf>
    <xf numFmtId="183" fontId="58" fillId="0" borderId="2" xfId="72" applyNumberFormat="1" applyFont="1" applyFill="1" applyBorder="1" applyAlignment="1">
      <alignment horizontal="center" vertical="top" wrapText="1"/>
    </xf>
    <xf numFmtId="0" fontId="58" fillId="0" borderId="0" xfId="0" applyFont="1" applyFill="1" applyAlignment="1">
      <alignment vertical="center" wrapText="1"/>
    </xf>
    <xf numFmtId="0" fontId="58" fillId="0" borderId="0" xfId="0" applyFont="1" applyFill="1" applyAlignment="1">
      <alignment horizontal="center" vertical="center" wrapText="1"/>
    </xf>
    <xf numFmtId="183" fontId="59" fillId="0" borderId="0" xfId="0" applyNumberFormat="1" applyFont="1" applyFill="1" applyAlignment="1">
      <alignment horizontal="center" wrapText="1"/>
    </xf>
    <xf numFmtId="0" fontId="58" fillId="0" borderId="0" xfId="0" applyFont="1" applyFill="1" applyAlignment="1">
      <alignment horizontal="left" vertical="center"/>
    </xf>
    <xf numFmtId="183" fontId="58" fillId="0" borderId="2" xfId="72" applyNumberFormat="1" applyFont="1" applyFill="1" applyBorder="1" applyAlignment="1">
      <alignment horizontal="left" vertical="center" wrapText="1"/>
    </xf>
    <xf numFmtId="183" fontId="59" fillId="0" borderId="0" xfId="0" applyNumberFormat="1" applyFont="1" applyFill="1" applyAlignment="1">
      <alignment horizontal="left"/>
    </xf>
    <xf numFmtId="38" fontId="58" fillId="0" borderId="0" xfId="1" applyFont="1" applyFill="1" applyAlignment="1">
      <alignment horizontal="center" vertical="center"/>
    </xf>
    <xf numFmtId="9" fontId="58" fillId="0" borderId="0" xfId="4" applyFont="1" applyFill="1" applyAlignment="1">
      <alignment horizontal="center" vertical="center"/>
    </xf>
    <xf numFmtId="183" fontId="58" fillId="0" borderId="2" xfId="50" applyNumberFormat="1" applyFont="1" applyFill="1" applyBorder="1" applyAlignment="1">
      <alignment horizontal="left" vertical="center" wrapText="1"/>
    </xf>
    <xf numFmtId="183" fontId="59" fillId="0" borderId="0" xfId="0" applyNumberFormat="1" applyFont="1" applyFill="1" applyAlignment="1">
      <alignment horizontal="left" vertical="center" wrapText="1"/>
    </xf>
    <xf numFmtId="183" fontId="58" fillId="0" borderId="2" xfId="72" applyNumberFormat="1" applyFont="1" applyFill="1" applyBorder="1" applyAlignment="1">
      <alignment vertical="center" shrinkToFit="1"/>
    </xf>
    <xf numFmtId="183" fontId="58" fillId="0" borderId="2" xfId="45" applyNumberFormat="1" applyFont="1" applyFill="1" applyBorder="1" applyAlignment="1">
      <alignment horizontal="center" vertical="center" shrinkToFit="1"/>
    </xf>
    <xf numFmtId="183" fontId="58" fillId="0" borderId="2" xfId="50" applyNumberFormat="1" applyFont="1" applyFill="1" applyBorder="1" applyAlignment="1">
      <alignment vertical="center" wrapText="1" shrinkToFit="1"/>
    </xf>
    <xf numFmtId="9" fontId="58" fillId="0" borderId="2" xfId="4" applyFont="1" applyFill="1" applyBorder="1" applyAlignment="1">
      <alignment horizontal="right" vertical="center" shrinkToFit="1"/>
    </xf>
    <xf numFmtId="0" fontId="41" fillId="0" borderId="0" xfId="0" applyFont="1" applyAlignment="1" applyProtection="1">
      <alignment horizontal="center" vertical="center"/>
      <protection locked="0"/>
    </xf>
    <xf numFmtId="0" fontId="44" fillId="0" borderId="12" xfId="0" applyFont="1" applyBorder="1" applyAlignment="1" applyProtection="1">
      <alignment horizontal="center" vertical="center"/>
      <protection locked="0"/>
    </xf>
    <xf numFmtId="0" fontId="44" fillId="4" borderId="12" xfId="0" applyFont="1" applyFill="1" applyBorder="1" applyAlignment="1" applyProtection="1">
      <alignment horizontal="center" vertical="center"/>
      <protection locked="0"/>
    </xf>
    <xf numFmtId="0" fontId="45" fillId="0" borderId="0" xfId="0" applyFont="1" applyBorder="1" applyAlignment="1" applyProtection="1">
      <alignment horizontal="left" vertical="center"/>
      <protection locked="0"/>
    </xf>
    <xf numFmtId="0" fontId="48" fillId="0" borderId="14" xfId="0" applyFont="1" applyBorder="1" applyAlignment="1" applyProtection="1">
      <alignment horizontal="right" wrapText="1"/>
      <protection locked="0"/>
    </xf>
    <xf numFmtId="0" fontId="39" fillId="0" borderId="0" xfId="0" applyFont="1" applyBorder="1" applyAlignment="1">
      <alignment horizontal="right" wrapText="1"/>
    </xf>
    <xf numFmtId="0" fontId="39" fillId="0" borderId="13" xfId="0" applyFont="1" applyBorder="1" applyAlignment="1">
      <alignment horizontal="right" wrapText="1"/>
    </xf>
    <xf numFmtId="0" fontId="39" fillId="0" borderId="7" xfId="0" applyFont="1" applyBorder="1" applyAlignment="1">
      <alignment horizontal="right" wrapText="1"/>
    </xf>
    <xf numFmtId="0" fontId="39" fillId="0" borderId="12" xfId="0" applyFont="1" applyBorder="1" applyAlignment="1">
      <alignment horizontal="right" wrapText="1"/>
    </xf>
    <xf numFmtId="0" fontId="39" fillId="0" borderId="11" xfId="0" applyFont="1" applyBorder="1" applyAlignment="1">
      <alignment horizontal="right" wrapText="1"/>
    </xf>
    <xf numFmtId="0" fontId="48" fillId="0" borderId="14" xfId="0" applyFont="1" applyFill="1" applyBorder="1" applyAlignment="1" applyProtection="1">
      <alignment horizontal="right" wrapText="1"/>
      <protection locked="0"/>
    </xf>
    <xf numFmtId="0" fontId="48" fillId="0" borderId="0" xfId="0" applyFont="1" applyFill="1" applyBorder="1" applyAlignment="1" applyProtection="1">
      <alignment horizontal="right" wrapText="1"/>
      <protection locked="0"/>
    </xf>
    <xf numFmtId="0" fontId="48" fillId="0" borderId="13" xfId="0" applyFont="1" applyFill="1" applyBorder="1" applyAlignment="1" applyProtection="1">
      <alignment horizontal="right" wrapText="1"/>
      <protection locked="0"/>
    </xf>
    <xf numFmtId="0" fontId="48" fillId="0" borderId="7" xfId="0" applyFont="1" applyFill="1" applyBorder="1" applyAlignment="1" applyProtection="1">
      <alignment horizontal="right" wrapText="1"/>
      <protection locked="0"/>
    </xf>
    <xf numFmtId="0" fontId="48" fillId="0" borderId="12" xfId="0" applyFont="1" applyFill="1" applyBorder="1" applyAlignment="1" applyProtection="1">
      <alignment horizontal="right" wrapText="1"/>
      <protection locked="0"/>
    </xf>
    <xf numFmtId="0" fontId="48" fillId="0" borderId="11" xfId="0" applyFont="1" applyFill="1" applyBorder="1" applyAlignment="1" applyProtection="1">
      <alignment horizontal="right" wrapText="1"/>
      <protection locked="0"/>
    </xf>
    <xf numFmtId="180" fontId="48" fillId="4" borderId="10" xfId="0" applyNumberFormat="1" applyFont="1" applyFill="1" applyBorder="1" applyAlignment="1" applyProtection="1">
      <alignment horizontal="right" vertical="center" wrapText="1"/>
      <protection locked="0"/>
    </xf>
    <xf numFmtId="180" fontId="48" fillId="4" borderId="9" xfId="0" applyNumberFormat="1" applyFont="1" applyFill="1" applyBorder="1" applyAlignment="1" applyProtection="1">
      <alignment horizontal="right" vertical="center" wrapText="1"/>
      <protection locked="0"/>
    </xf>
    <xf numFmtId="180" fontId="48" fillId="4" borderId="8" xfId="0" applyNumberFormat="1" applyFont="1" applyFill="1" applyBorder="1" applyAlignment="1" applyProtection="1">
      <alignment horizontal="right" vertical="center" wrapText="1"/>
      <protection locked="0"/>
    </xf>
    <xf numFmtId="180" fontId="48" fillId="4" borderId="2" xfId="0" applyNumberFormat="1" applyFont="1" applyFill="1" applyBorder="1" applyAlignment="1" applyProtection="1">
      <alignment horizontal="right" vertical="center" wrapText="1"/>
      <protection locked="0"/>
    </xf>
    <xf numFmtId="0" fontId="48" fillId="0" borderId="0" xfId="0" applyFont="1" applyBorder="1" applyAlignment="1" applyProtection="1">
      <alignment horizontal="left" vertical="center" wrapText="1"/>
      <protection locked="0"/>
    </xf>
    <xf numFmtId="0" fontId="48" fillId="0" borderId="2" xfId="0" applyFont="1" applyBorder="1" applyAlignment="1" applyProtection="1">
      <alignment horizontal="center" vertical="center" wrapText="1"/>
      <protection locked="0"/>
    </xf>
    <xf numFmtId="0" fontId="48" fillId="0" borderId="2" xfId="0" applyFont="1" applyBorder="1" applyAlignment="1" applyProtection="1">
      <alignment horizontal="center" vertical="center"/>
      <protection locked="0"/>
    </xf>
    <xf numFmtId="0" fontId="48" fillId="0" borderId="6" xfId="0" applyFont="1" applyBorder="1" applyAlignment="1" applyProtection="1">
      <alignment horizontal="center" vertical="center" wrapText="1"/>
      <protection locked="0"/>
    </xf>
    <xf numFmtId="0" fontId="39" fillId="0" borderId="5" xfId="0" applyFont="1" applyBorder="1" applyAlignment="1">
      <alignment horizontal="center" vertical="center" wrapText="1"/>
    </xf>
    <xf numFmtId="0" fontId="39" fillId="0" borderId="4" xfId="0" applyFont="1" applyBorder="1" applyAlignment="1">
      <alignment horizontal="center" vertical="center" wrapText="1"/>
    </xf>
    <xf numFmtId="0" fontId="48" fillId="0" borderId="6" xfId="0" applyFont="1" applyFill="1" applyBorder="1" applyAlignment="1" applyProtection="1">
      <alignment horizontal="center" vertical="center" wrapText="1"/>
      <protection locked="0"/>
    </xf>
    <xf numFmtId="0" fontId="48" fillId="0" borderId="5" xfId="0" applyFont="1" applyFill="1" applyBorder="1" applyAlignment="1" applyProtection="1">
      <alignment horizontal="center" vertical="center" wrapText="1"/>
      <protection locked="0"/>
    </xf>
    <xf numFmtId="0" fontId="48" fillId="0" borderId="4" xfId="0" applyFont="1" applyFill="1" applyBorder="1" applyAlignment="1" applyProtection="1">
      <alignment horizontal="center" vertical="center" wrapText="1"/>
      <protection locked="0"/>
    </xf>
    <xf numFmtId="180" fontId="34" fillId="4" borderId="10" xfId="0" applyNumberFormat="1" applyFont="1" applyFill="1" applyBorder="1" applyAlignment="1" applyProtection="1">
      <alignment horizontal="right" vertical="center" wrapText="1"/>
      <protection locked="0"/>
    </xf>
    <xf numFmtId="180" fontId="34" fillId="4" borderId="9" xfId="0" applyNumberFormat="1" applyFont="1" applyFill="1" applyBorder="1" applyAlignment="1" applyProtection="1">
      <alignment horizontal="right" vertical="center" wrapText="1"/>
      <protection locked="0"/>
    </xf>
    <xf numFmtId="180" fontId="34" fillId="4" borderId="8" xfId="0" applyNumberFormat="1" applyFont="1" applyFill="1" applyBorder="1" applyAlignment="1" applyProtection="1">
      <alignment horizontal="right" vertical="center" wrapText="1"/>
      <protection locked="0"/>
    </xf>
    <xf numFmtId="180" fontId="34" fillId="4" borderId="2" xfId="0" applyNumberFormat="1" applyFont="1" applyFill="1" applyBorder="1" applyAlignment="1" applyProtection="1">
      <alignment horizontal="right" vertical="center" wrapText="1"/>
      <protection locked="0"/>
    </xf>
    <xf numFmtId="0" fontId="34" fillId="0" borderId="2" xfId="0" applyFont="1" applyBorder="1" applyAlignment="1" applyProtection="1">
      <alignment horizontal="left" vertical="center"/>
      <protection locked="0"/>
    </xf>
    <xf numFmtId="0" fontId="48" fillId="0" borderId="0" xfId="0" applyFont="1" applyAlignment="1" applyProtection="1">
      <alignment horizontal="left" vertical="center" wrapText="1"/>
      <protection locked="0"/>
    </xf>
    <xf numFmtId="0" fontId="39" fillId="0" borderId="0" xfId="0" applyFont="1" applyAlignment="1">
      <alignment horizontal="left" vertical="center" wrapText="1"/>
    </xf>
    <xf numFmtId="0" fontId="34" fillId="0" borderId="0" xfId="0" applyFont="1" applyAlignment="1" applyProtection="1">
      <alignment horizontal="left" vertical="center"/>
      <protection locked="0"/>
    </xf>
    <xf numFmtId="0" fontId="34" fillId="0" borderId="2" xfId="0" applyFont="1" applyBorder="1" applyAlignment="1" applyProtection="1">
      <alignment horizontal="left" vertical="center" shrinkToFit="1"/>
      <protection locked="0"/>
    </xf>
    <xf numFmtId="0" fontId="48" fillId="0" borderId="0" xfId="0" applyFont="1" applyAlignment="1" applyProtection="1">
      <alignment horizontal="right" vertical="center"/>
      <protection locked="0"/>
    </xf>
    <xf numFmtId="0" fontId="48" fillId="0" borderId="10" xfId="0" applyFont="1" applyBorder="1" applyAlignment="1" applyProtection="1">
      <alignment horizontal="center" vertical="center" wrapText="1"/>
      <protection locked="0"/>
    </xf>
    <xf numFmtId="0" fontId="39" fillId="0" borderId="9" xfId="0" applyFont="1" applyBorder="1" applyAlignment="1">
      <alignment horizontal="center" vertical="center" wrapText="1"/>
    </xf>
    <xf numFmtId="0" fontId="39" fillId="0" borderId="8" xfId="0" applyFont="1" applyBorder="1" applyAlignment="1">
      <alignment horizontal="center" vertical="center" wrapText="1"/>
    </xf>
    <xf numFmtId="0" fontId="48" fillId="0" borderId="10" xfId="0" applyFont="1" applyBorder="1" applyAlignment="1" applyProtection="1">
      <alignment horizontal="center" vertical="center"/>
      <protection locked="0"/>
    </xf>
    <xf numFmtId="0" fontId="48" fillId="0" borderId="9" xfId="0" applyFont="1" applyBorder="1" applyAlignment="1" applyProtection="1">
      <alignment horizontal="center" vertical="center"/>
      <protection locked="0"/>
    </xf>
    <xf numFmtId="0" fontId="48" fillId="0" borderId="8" xfId="0" applyFont="1" applyBorder="1" applyAlignment="1" applyProtection="1">
      <alignment horizontal="center" vertical="center"/>
      <protection locked="0"/>
    </xf>
    <xf numFmtId="0" fontId="48" fillId="0" borderId="9" xfId="0" applyFont="1" applyBorder="1" applyAlignment="1" applyProtection="1">
      <alignment horizontal="center" vertical="center" wrapText="1"/>
      <protection locked="0"/>
    </xf>
    <xf numFmtId="0" fontId="48" fillId="0" borderId="8" xfId="0" applyFont="1" applyBorder="1" applyAlignment="1" applyProtection="1">
      <alignment horizontal="center" vertical="center" wrapText="1"/>
      <protection locked="0"/>
    </xf>
    <xf numFmtId="0" fontId="48" fillId="0" borderId="10" xfId="0" applyFont="1" applyBorder="1" applyAlignment="1" applyProtection="1">
      <alignment horizontal="left" vertical="center" wrapText="1"/>
      <protection locked="0"/>
    </xf>
    <xf numFmtId="0" fontId="39" fillId="0" borderId="9" xfId="0" applyFont="1" applyBorder="1" applyAlignment="1">
      <alignment horizontal="left" vertical="center" wrapText="1"/>
    </xf>
    <xf numFmtId="0" fontId="39" fillId="0" borderId="9" xfId="0" applyFont="1" applyBorder="1" applyAlignment="1">
      <alignment vertical="center" wrapText="1"/>
    </xf>
    <xf numFmtId="0" fontId="39" fillId="0" borderId="8" xfId="0" applyFont="1" applyBorder="1" applyAlignment="1">
      <alignment vertical="center" wrapText="1"/>
    </xf>
    <xf numFmtId="180" fontId="48" fillId="4" borderId="10" xfId="0" applyNumberFormat="1" applyFont="1" applyFill="1" applyBorder="1" applyAlignment="1" applyProtection="1">
      <alignment horizontal="right" vertical="center"/>
      <protection locked="0"/>
    </xf>
    <xf numFmtId="180" fontId="48" fillId="4" borderId="9" xfId="0" applyNumberFormat="1" applyFont="1" applyFill="1" applyBorder="1" applyAlignment="1">
      <alignment horizontal="right" vertical="center"/>
    </xf>
    <xf numFmtId="180" fontId="48" fillId="4" borderId="8" xfId="0" applyNumberFormat="1" applyFont="1" applyFill="1" applyBorder="1" applyAlignment="1">
      <alignment horizontal="right" vertical="center"/>
    </xf>
    <xf numFmtId="10" fontId="48" fillId="0" borderId="10" xfId="0" applyNumberFormat="1" applyFont="1" applyBorder="1" applyAlignment="1">
      <alignment horizontal="right" vertical="center"/>
    </xf>
    <xf numFmtId="10" fontId="48" fillId="0" borderId="9" xfId="0" applyNumberFormat="1" applyFont="1" applyBorder="1" applyAlignment="1">
      <alignment horizontal="right" vertical="center"/>
    </xf>
    <xf numFmtId="10" fontId="48" fillId="0" borderId="8" xfId="0" applyNumberFormat="1" applyFont="1" applyBorder="1" applyAlignment="1">
      <alignment horizontal="right" vertical="center"/>
    </xf>
    <xf numFmtId="180" fontId="48" fillId="0" borderId="9" xfId="0" applyNumberFormat="1" applyFont="1" applyBorder="1" applyAlignment="1">
      <alignment horizontal="right" vertical="center"/>
    </xf>
    <xf numFmtId="180" fontId="48" fillId="0" borderId="8" xfId="0" applyNumberFormat="1" applyFont="1" applyBorder="1" applyAlignment="1">
      <alignment horizontal="right" vertical="center"/>
    </xf>
    <xf numFmtId="180" fontId="48" fillId="4" borderId="10" xfId="0" applyNumberFormat="1" applyFont="1" applyFill="1" applyBorder="1" applyAlignment="1">
      <alignment horizontal="right" vertical="center"/>
    </xf>
    <xf numFmtId="180" fontId="48" fillId="4" borderId="9" xfId="0" applyNumberFormat="1" applyFont="1" applyFill="1" applyBorder="1" applyAlignment="1" applyProtection="1">
      <alignment horizontal="right" vertical="center"/>
      <protection locked="0"/>
    </xf>
    <xf numFmtId="180" fontId="48" fillId="4" borderId="8" xfId="0" applyNumberFormat="1" applyFont="1" applyFill="1" applyBorder="1" applyAlignment="1" applyProtection="1">
      <alignment horizontal="right" vertical="center"/>
      <protection locked="0"/>
    </xf>
    <xf numFmtId="0" fontId="51" fillId="4" borderId="0" xfId="0" applyFont="1" applyFill="1" applyAlignment="1" applyProtection="1">
      <alignment horizontal="center" vertical="center"/>
      <protection locked="0"/>
    </xf>
    <xf numFmtId="0" fontId="48" fillId="0" borderId="0" xfId="0" applyFont="1" applyAlignment="1" applyProtection="1">
      <alignment horizontal="left" vertical="center"/>
      <protection locked="0"/>
    </xf>
    <xf numFmtId="0" fontId="48" fillId="0" borderId="38" xfId="0" applyFont="1" applyBorder="1" applyAlignment="1" applyProtection="1">
      <alignment horizontal="left" vertical="center" wrapText="1"/>
      <protection locked="0"/>
    </xf>
    <xf numFmtId="0" fontId="39" fillId="0" borderId="39" xfId="0" applyFont="1" applyBorder="1" applyAlignment="1">
      <alignment horizontal="left" vertical="center" wrapText="1"/>
    </xf>
    <xf numFmtId="0" fontId="39" fillId="0" borderId="39" xfId="0" applyFont="1" applyBorder="1" applyAlignment="1">
      <alignment vertical="center" wrapText="1"/>
    </xf>
    <xf numFmtId="0" fontId="39" fillId="0" borderId="47" xfId="0" applyFont="1" applyBorder="1" applyAlignment="1">
      <alignment vertical="center" wrapText="1"/>
    </xf>
    <xf numFmtId="180" fontId="48" fillId="4" borderId="38" xfId="0" applyNumberFormat="1" applyFont="1" applyFill="1" applyBorder="1" applyAlignment="1">
      <alignment horizontal="right" vertical="center"/>
    </xf>
    <xf numFmtId="180" fontId="48" fillId="0" borderId="39" xfId="0" applyNumberFormat="1" applyFont="1" applyBorder="1" applyAlignment="1">
      <alignment horizontal="right" vertical="center"/>
    </xf>
    <xf numFmtId="180" fontId="48" fillId="0" borderId="47" xfId="0" applyNumberFormat="1" applyFont="1" applyBorder="1" applyAlignment="1">
      <alignment horizontal="right" vertical="center"/>
    </xf>
    <xf numFmtId="180" fontId="48" fillId="4" borderId="38" xfId="0" applyNumberFormat="1" applyFont="1" applyFill="1" applyBorder="1" applyAlignment="1" applyProtection="1">
      <alignment horizontal="right" vertical="center"/>
      <protection locked="0"/>
    </xf>
    <xf numFmtId="180" fontId="48" fillId="4" borderId="39" xfId="0" applyNumberFormat="1" applyFont="1" applyFill="1" applyBorder="1" applyAlignment="1" applyProtection="1">
      <alignment horizontal="right" vertical="center"/>
      <protection locked="0"/>
    </xf>
    <xf numFmtId="180" fontId="48" fillId="4" borderId="47" xfId="0" applyNumberFormat="1" applyFont="1" applyFill="1" applyBorder="1" applyAlignment="1" applyProtection="1">
      <alignment horizontal="right" vertical="center"/>
      <protection locked="0"/>
    </xf>
    <xf numFmtId="0" fontId="48" fillId="0" borderId="40" xfId="0" applyFont="1" applyBorder="1" applyAlignment="1" applyProtection="1">
      <alignment horizontal="left" vertical="center" wrapText="1"/>
      <protection locked="0"/>
    </xf>
    <xf numFmtId="0" fontId="39" fillId="0" borderId="41" xfId="0" applyFont="1" applyBorder="1" applyAlignment="1">
      <alignment horizontal="left" vertical="center" wrapText="1"/>
    </xf>
    <xf numFmtId="0" fontId="39" fillId="0" borderId="41" xfId="0" applyFont="1" applyBorder="1" applyAlignment="1">
      <alignment vertical="center" wrapText="1"/>
    </xf>
    <xf numFmtId="180" fontId="48" fillId="4" borderId="40" xfId="0" applyNumberFormat="1" applyFont="1" applyFill="1" applyBorder="1" applyAlignment="1" applyProtection="1">
      <alignment horizontal="right" vertical="center"/>
      <protection locked="0"/>
    </xf>
    <xf numFmtId="180" fontId="48" fillId="4" borderId="41" xfId="0" applyNumberFormat="1" applyFont="1" applyFill="1" applyBorder="1" applyAlignment="1">
      <alignment horizontal="right" vertical="center"/>
    </xf>
    <xf numFmtId="180" fontId="48" fillId="4" borderId="42" xfId="0" applyNumberFormat="1" applyFont="1" applyFill="1" applyBorder="1" applyAlignment="1">
      <alignment horizontal="right" vertical="center"/>
    </xf>
    <xf numFmtId="10" fontId="48" fillId="0" borderId="41" xfId="0" applyNumberFormat="1" applyFont="1" applyFill="1" applyBorder="1" applyAlignment="1" applyProtection="1">
      <alignment horizontal="right" vertical="center"/>
      <protection locked="0"/>
    </xf>
    <xf numFmtId="10" fontId="48" fillId="0" borderId="41" xfId="0" applyNumberFormat="1" applyFont="1" applyFill="1" applyBorder="1" applyAlignment="1">
      <alignment horizontal="right" vertical="center"/>
    </xf>
    <xf numFmtId="10" fontId="48" fillId="0" borderId="42" xfId="0" applyNumberFormat="1" applyFont="1" applyFill="1" applyBorder="1" applyAlignment="1">
      <alignment horizontal="right" vertical="center"/>
    </xf>
    <xf numFmtId="180" fontId="48" fillId="4" borderId="41" xfId="0" applyNumberFormat="1" applyFont="1" applyFill="1" applyBorder="1" applyAlignment="1" applyProtection="1">
      <alignment horizontal="right" vertical="center"/>
      <protection locked="0"/>
    </xf>
    <xf numFmtId="180" fontId="48" fillId="4" borderId="42" xfId="0" applyNumberFormat="1" applyFont="1" applyFill="1" applyBorder="1" applyAlignment="1" applyProtection="1">
      <alignment horizontal="right" vertical="center"/>
      <protection locked="0"/>
    </xf>
    <xf numFmtId="0" fontId="48" fillId="0" borderId="0" xfId="0" applyFont="1" applyFill="1" applyAlignment="1" applyProtection="1">
      <alignment horizontal="left" vertical="center" wrapText="1"/>
      <protection locked="0"/>
    </xf>
    <xf numFmtId="0" fontId="48" fillId="0" borderId="0" xfId="0" applyFont="1" applyFill="1" applyAlignment="1" applyProtection="1">
      <alignment horizontal="left" vertical="center"/>
      <protection locked="0"/>
    </xf>
    <xf numFmtId="0" fontId="48" fillId="0" borderId="0" xfId="0" applyFont="1" applyBorder="1" applyAlignment="1" applyProtection="1">
      <alignment horizontal="left" vertical="center"/>
      <protection locked="0"/>
    </xf>
    <xf numFmtId="0" fontId="34" fillId="4" borderId="0" xfId="0" applyFont="1" applyFill="1" applyAlignment="1" applyProtection="1">
      <alignment horizontal="left" vertical="center"/>
      <protection locked="0"/>
    </xf>
    <xf numFmtId="0" fontId="48" fillId="4" borderId="0" xfId="0" applyFont="1" applyFill="1" applyAlignment="1" applyProtection="1">
      <alignment horizontal="left" vertical="center"/>
      <protection locked="0"/>
    </xf>
    <xf numFmtId="0" fontId="47" fillId="0" borderId="0" xfId="0" applyFont="1" applyAlignment="1" applyProtection="1">
      <alignment vertical="center"/>
      <protection locked="0"/>
    </xf>
    <xf numFmtId="0" fontId="0" fillId="0" borderId="0" xfId="0" applyAlignment="1">
      <alignment vertical="center"/>
    </xf>
    <xf numFmtId="14" fontId="47" fillId="0" borderId="0" xfId="0" applyNumberFormat="1" applyFont="1" applyFill="1" applyAlignment="1" applyProtection="1">
      <alignment vertical="center"/>
      <protection locked="0"/>
    </xf>
    <xf numFmtId="14" fontId="0" fillId="0" borderId="0" xfId="0" applyNumberFormat="1" applyAlignment="1">
      <alignment vertical="center"/>
    </xf>
    <xf numFmtId="0" fontId="51" fillId="0" borderId="0" xfId="0" applyFont="1" applyAlignment="1" applyProtection="1">
      <alignment horizontal="left" vertical="center"/>
      <protection locked="0"/>
    </xf>
    <xf numFmtId="0" fontId="52" fillId="0" borderId="0" xfId="0" applyFont="1" applyAlignment="1" applyProtection="1">
      <alignment horizontal="left" vertical="center"/>
      <protection locked="0"/>
    </xf>
    <xf numFmtId="0" fontId="48" fillId="0" borderId="0" xfId="0" applyFont="1" applyAlignment="1" applyProtection="1">
      <alignment horizontal="center" vertical="center"/>
      <protection locked="0"/>
    </xf>
    <xf numFmtId="0" fontId="34" fillId="4" borderId="0" xfId="0" applyFont="1" applyFill="1" applyAlignment="1" applyProtection="1">
      <alignment horizontal="center" vertical="center"/>
      <protection locked="0"/>
    </xf>
    <xf numFmtId="0" fontId="34" fillId="0" borderId="0" xfId="0" applyFont="1" applyAlignment="1" applyProtection="1">
      <alignment horizontal="center" vertical="center"/>
      <protection locked="0"/>
    </xf>
    <xf numFmtId="181" fontId="34" fillId="4" borderId="0" xfId="1" applyNumberFormat="1" applyFont="1" applyFill="1" applyAlignment="1" applyProtection="1">
      <alignment horizontal="right" vertical="center"/>
      <protection locked="0"/>
    </xf>
    <xf numFmtId="0" fontId="51" fillId="0" borderId="0" xfId="0" applyFont="1" applyAlignment="1" applyProtection="1">
      <alignment horizontal="center" vertical="center" wrapText="1"/>
      <protection locked="0"/>
    </xf>
    <xf numFmtId="0" fontId="51" fillId="0" borderId="0" xfId="0" applyFont="1" applyAlignment="1" applyProtection="1">
      <alignment horizontal="center" vertical="center"/>
      <protection locked="0"/>
    </xf>
    <xf numFmtId="0" fontId="45" fillId="0" borderId="0" xfId="0" applyFont="1" applyAlignment="1" applyProtection="1">
      <alignment horizontal="left" vertical="center"/>
      <protection locked="0"/>
    </xf>
    <xf numFmtId="0" fontId="48" fillId="0" borderId="2" xfId="0" applyFont="1" applyBorder="1" applyAlignment="1" applyProtection="1">
      <alignment horizontal="left" vertical="center"/>
      <protection locked="0"/>
    </xf>
    <xf numFmtId="0" fontId="48" fillId="4" borderId="2" xfId="0" applyFont="1" applyFill="1" applyBorder="1" applyAlignment="1" applyProtection="1">
      <alignment horizontal="center" vertical="center"/>
      <protection locked="0"/>
    </xf>
    <xf numFmtId="0" fontId="48" fillId="0" borderId="10" xfId="0" applyFont="1" applyBorder="1" applyAlignment="1" applyProtection="1">
      <alignment horizontal="left" vertical="center"/>
      <protection locked="0"/>
    </xf>
    <xf numFmtId="0" fontId="48" fillId="0" borderId="9" xfId="0" applyFont="1" applyBorder="1" applyAlignment="1" applyProtection="1">
      <alignment horizontal="left" vertical="center"/>
      <protection locked="0"/>
    </xf>
    <xf numFmtId="0" fontId="48" fillId="0" borderId="8" xfId="0" applyFont="1" applyBorder="1" applyAlignment="1" applyProtection="1">
      <alignment horizontal="left" vertical="center"/>
      <protection locked="0"/>
    </xf>
    <xf numFmtId="0" fontId="48" fillId="4" borderId="10" xfId="0" applyFont="1" applyFill="1" applyBorder="1" applyAlignment="1" applyProtection="1">
      <alignment horizontal="left" vertical="center"/>
      <protection locked="0"/>
    </xf>
    <xf numFmtId="0" fontId="48" fillId="4" borderId="9" xfId="0" applyFont="1" applyFill="1" applyBorder="1" applyAlignment="1" applyProtection="1">
      <alignment horizontal="left" vertical="center"/>
      <protection locked="0"/>
    </xf>
    <xf numFmtId="0" fontId="48" fillId="4" borderId="8" xfId="0" applyFont="1" applyFill="1" applyBorder="1" applyAlignment="1" applyProtection="1">
      <alignment horizontal="left" vertical="center"/>
      <protection locked="0"/>
    </xf>
    <xf numFmtId="0" fontId="34" fillId="0" borderId="0" xfId="0" applyFont="1" applyBorder="1" applyAlignment="1" applyProtection="1">
      <alignment horizontal="left" vertical="center" wrapText="1"/>
      <protection locked="0"/>
    </xf>
    <xf numFmtId="0" fontId="34" fillId="4" borderId="0" xfId="71" applyFont="1" applyFill="1" applyBorder="1" applyAlignment="1" applyProtection="1">
      <alignment horizontal="center" vertical="center"/>
      <protection locked="0"/>
    </xf>
    <xf numFmtId="0" fontId="54" fillId="0" borderId="6" xfId="0" applyFont="1" applyBorder="1" applyAlignment="1" applyProtection="1">
      <alignment horizontal="center" vertical="center" wrapText="1"/>
      <protection locked="0"/>
    </xf>
    <xf numFmtId="0" fontId="54" fillId="0" borderId="5" xfId="0" applyFont="1" applyBorder="1" applyAlignment="1" applyProtection="1">
      <alignment horizontal="center" vertical="center" wrapText="1"/>
      <protection locked="0"/>
    </xf>
    <xf numFmtId="0" fontId="54" fillId="0" borderId="5" xfId="0" applyFont="1" applyBorder="1" applyAlignment="1" applyProtection="1">
      <alignment horizontal="center" vertical="center"/>
      <protection locked="0"/>
    </xf>
    <xf numFmtId="0" fontId="54" fillId="0" borderId="4" xfId="0" applyFont="1" applyBorder="1" applyAlignment="1" applyProtection="1">
      <alignment horizontal="center" vertical="center"/>
      <protection locked="0"/>
    </xf>
    <xf numFmtId="0" fontId="54" fillId="0" borderId="4" xfId="0" applyFont="1" applyBorder="1" applyAlignment="1" applyProtection="1">
      <alignment horizontal="center" vertical="center" wrapText="1"/>
      <protection locked="0"/>
    </xf>
    <xf numFmtId="0" fontId="39" fillId="0" borderId="0" xfId="0" applyFont="1" applyAlignment="1">
      <alignment horizontal="left" vertical="center"/>
    </xf>
    <xf numFmtId="0" fontId="36" fillId="2" borderId="10" xfId="0" applyFont="1" applyFill="1" applyBorder="1" applyAlignment="1" applyProtection="1">
      <alignment horizontal="center" vertical="center"/>
      <protection locked="0"/>
    </xf>
    <xf numFmtId="0" fontId="36" fillId="2" borderId="9" xfId="0" applyFont="1" applyFill="1" applyBorder="1" applyAlignment="1" applyProtection="1">
      <alignment horizontal="center" vertical="center"/>
      <protection locked="0"/>
    </xf>
    <xf numFmtId="0" fontId="36" fillId="2" borderId="8" xfId="0" applyFont="1" applyFill="1" applyBorder="1" applyAlignment="1" applyProtection="1">
      <alignment horizontal="center" vertical="center"/>
      <protection locked="0"/>
    </xf>
    <xf numFmtId="0" fontId="53" fillId="2" borderId="10" xfId="0" applyFont="1" applyFill="1" applyBorder="1" applyAlignment="1" applyProtection="1">
      <alignment horizontal="center" vertical="center"/>
      <protection locked="0"/>
    </xf>
    <xf numFmtId="0" fontId="53" fillId="2" borderId="9" xfId="0" applyFont="1" applyFill="1" applyBorder="1" applyAlignment="1" applyProtection="1">
      <alignment horizontal="center" vertical="center"/>
      <protection locked="0"/>
    </xf>
    <xf numFmtId="0" fontId="53" fillId="2" borderId="8" xfId="0" applyFont="1" applyFill="1" applyBorder="1" applyAlignment="1" applyProtection="1">
      <alignment horizontal="center" vertical="center"/>
      <protection locked="0"/>
    </xf>
    <xf numFmtId="177" fontId="35" fillId="2" borderId="6" xfId="0" applyNumberFormat="1" applyFont="1" applyFill="1" applyBorder="1" applyAlignment="1" applyProtection="1">
      <alignment horizontal="center" vertical="center" wrapText="1"/>
      <protection locked="0"/>
    </xf>
    <xf numFmtId="177" fontId="35" fillId="2" borderId="15" xfId="0" applyNumberFormat="1" applyFont="1" applyFill="1" applyBorder="1" applyAlignment="1" applyProtection="1">
      <alignment horizontal="center" vertical="center" wrapText="1"/>
      <protection locked="0"/>
    </xf>
    <xf numFmtId="177" fontId="35" fillId="2" borderId="7" xfId="0" applyNumberFormat="1" applyFont="1" applyFill="1" applyBorder="1" applyAlignment="1" applyProtection="1">
      <alignment horizontal="center" vertical="center" wrapText="1"/>
      <protection locked="0"/>
    </xf>
    <xf numFmtId="177" fontId="35" fillId="2" borderId="20" xfId="0" applyNumberFormat="1" applyFont="1" applyFill="1" applyBorder="1" applyAlignment="1" applyProtection="1">
      <alignment horizontal="center" vertical="center" wrapText="1"/>
      <protection locked="0"/>
    </xf>
    <xf numFmtId="177" fontId="36" fillId="2" borderId="16" xfId="0" applyNumberFormat="1" applyFont="1" applyFill="1" applyBorder="1" applyAlignment="1" applyProtection="1">
      <alignment horizontal="center" vertical="center" wrapText="1"/>
      <protection locked="0"/>
    </xf>
    <xf numFmtId="177" fontId="36" fillId="2" borderId="17" xfId="0" applyNumberFormat="1" applyFont="1" applyFill="1" applyBorder="1" applyAlignment="1" applyProtection="1">
      <alignment horizontal="center" vertical="center" wrapText="1"/>
      <protection locked="0"/>
    </xf>
    <xf numFmtId="177" fontId="36" fillId="2" borderId="21" xfId="0" applyNumberFormat="1" applyFont="1" applyFill="1" applyBorder="1" applyAlignment="1" applyProtection="1">
      <alignment horizontal="center" vertical="center" wrapText="1"/>
      <protection locked="0"/>
    </xf>
    <xf numFmtId="177" fontId="36" fillId="2" borderId="22" xfId="0" applyNumberFormat="1" applyFont="1" applyFill="1" applyBorder="1" applyAlignment="1" applyProtection="1">
      <alignment horizontal="center" vertical="center" wrapText="1"/>
      <protection locked="0"/>
    </xf>
    <xf numFmtId="177" fontId="35" fillId="2" borderId="25" xfId="0" applyNumberFormat="1" applyFont="1" applyFill="1" applyBorder="1" applyAlignment="1" applyProtection="1">
      <alignment horizontal="center" vertical="center" wrapText="1"/>
      <protection locked="0"/>
    </xf>
    <xf numFmtId="177" fontId="35" fillId="2" borderId="26" xfId="0" applyNumberFormat="1" applyFont="1" applyFill="1" applyBorder="1" applyAlignment="1" applyProtection="1">
      <alignment horizontal="center" vertical="center" wrapText="1"/>
      <protection locked="0"/>
    </xf>
    <xf numFmtId="177" fontId="35" fillId="2" borderId="27" xfId="0" applyNumberFormat="1" applyFont="1" applyFill="1" applyBorder="1" applyAlignment="1" applyProtection="1">
      <alignment horizontal="center" vertical="center" wrapText="1"/>
      <protection locked="0"/>
    </xf>
    <xf numFmtId="182" fontId="56" fillId="0" borderId="25" xfId="0" applyNumberFormat="1" applyFont="1" applyBorder="1" applyAlignment="1" applyProtection="1">
      <alignment horizontal="right" vertical="center"/>
      <protection locked="0"/>
    </xf>
    <xf numFmtId="182" fontId="56" fillId="0" borderId="26" xfId="0" applyNumberFormat="1" applyFont="1" applyBorder="1" applyAlignment="1" applyProtection="1">
      <alignment horizontal="right" vertical="center"/>
      <protection locked="0"/>
    </xf>
    <xf numFmtId="0" fontId="35" fillId="2" borderId="6" xfId="0" applyFont="1" applyFill="1" applyBorder="1" applyAlignment="1" applyProtection="1">
      <alignment horizontal="center" vertical="center" wrapText="1"/>
      <protection locked="0"/>
    </xf>
    <xf numFmtId="0" fontId="35" fillId="2" borderId="5" xfId="0" applyFont="1" applyFill="1" applyBorder="1" applyAlignment="1" applyProtection="1">
      <alignment horizontal="center" vertical="center" wrapText="1"/>
      <protection locked="0"/>
    </xf>
    <xf numFmtId="0" fontId="35" fillId="2" borderId="4" xfId="0" applyFont="1" applyFill="1" applyBorder="1" applyAlignment="1" applyProtection="1">
      <alignment horizontal="center" vertical="center" wrapText="1"/>
      <protection locked="0"/>
    </xf>
    <xf numFmtId="0" fontId="35" fillId="2" borderId="18" xfId="0" applyFont="1" applyFill="1" applyBorder="1" applyAlignment="1" applyProtection="1">
      <alignment horizontal="center" vertical="center" wrapText="1"/>
      <protection locked="0"/>
    </xf>
    <xf numFmtId="0" fontId="35" fillId="2" borderId="19" xfId="0" applyFont="1" applyFill="1" applyBorder="1" applyAlignment="1" applyProtection="1">
      <alignment horizontal="center" vertical="center" wrapText="1"/>
      <protection locked="0"/>
    </xf>
    <xf numFmtId="0" fontId="35" fillId="2" borderId="17" xfId="0" applyFont="1" applyFill="1" applyBorder="1" applyAlignment="1" applyProtection="1">
      <alignment horizontal="center" vertical="center" wrapText="1"/>
      <protection locked="0"/>
    </xf>
    <xf numFmtId="182" fontId="35" fillId="0" borderId="18" xfId="1" applyNumberFormat="1" applyFont="1" applyBorder="1" applyAlignment="1" applyProtection="1">
      <alignment horizontal="right" vertical="center"/>
      <protection locked="0"/>
    </xf>
    <xf numFmtId="182" fontId="35" fillId="0" borderId="19" xfId="1" applyNumberFormat="1" applyFont="1" applyBorder="1" applyAlignment="1" applyProtection="1">
      <alignment horizontal="right" vertical="center"/>
      <protection locked="0"/>
    </xf>
    <xf numFmtId="0" fontId="36" fillId="2" borderId="23" xfId="0" applyFont="1" applyFill="1" applyBorder="1" applyAlignment="1" applyProtection="1">
      <alignment horizontal="center" vertical="center" wrapText="1"/>
      <protection locked="0"/>
    </xf>
    <xf numFmtId="0" fontId="36" fillId="2" borderId="24" xfId="0" applyFont="1" applyFill="1" applyBorder="1" applyAlignment="1" applyProtection="1">
      <alignment horizontal="center" vertical="center" wrapText="1"/>
      <protection locked="0"/>
    </xf>
    <xf numFmtId="0" fontId="36" fillId="2" borderId="22" xfId="0" applyFont="1" applyFill="1" applyBorder="1" applyAlignment="1" applyProtection="1">
      <alignment horizontal="center" vertical="center" wrapText="1"/>
      <protection locked="0"/>
    </xf>
    <xf numFmtId="178" fontId="57" fillId="3" borderId="23" xfId="4" applyNumberFormat="1" applyFont="1" applyFill="1" applyBorder="1" applyAlignment="1" applyProtection="1">
      <alignment horizontal="center" vertical="center"/>
    </xf>
    <xf numFmtId="178" fontId="57" fillId="3" borderId="24" xfId="4" applyNumberFormat="1" applyFont="1" applyFill="1" applyBorder="1" applyAlignment="1" applyProtection="1">
      <alignment horizontal="center" vertical="center"/>
    </xf>
    <xf numFmtId="178" fontId="57" fillId="3" borderId="22" xfId="4" applyNumberFormat="1" applyFont="1" applyFill="1" applyBorder="1" applyAlignment="1" applyProtection="1">
      <alignment horizontal="center" vertical="center"/>
    </xf>
    <xf numFmtId="0" fontId="35" fillId="2" borderId="18" xfId="0" applyFont="1" applyFill="1" applyBorder="1" applyAlignment="1" applyProtection="1">
      <alignment horizontal="center" vertical="center"/>
      <protection locked="0"/>
    </xf>
    <xf numFmtId="0" fontId="35" fillId="2" borderId="19" xfId="0" applyFont="1" applyFill="1" applyBorder="1" applyAlignment="1" applyProtection="1">
      <alignment horizontal="center" vertical="center"/>
      <protection locked="0"/>
    </xf>
    <xf numFmtId="0" fontId="35" fillId="2" borderId="17" xfId="0" applyFont="1" applyFill="1" applyBorder="1" applyAlignment="1" applyProtection="1">
      <alignment horizontal="center" vertical="center"/>
      <protection locked="0"/>
    </xf>
    <xf numFmtId="178" fontId="57" fillId="3" borderId="6" xfId="0" applyNumberFormat="1" applyFont="1" applyFill="1" applyBorder="1" applyAlignment="1" applyProtection="1">
      <alignment horizontal="center" vertical="center"/>
    </xf>
    <xf numFmtId="178" fontId="57" fillId="3" borderId="5" xfId="0" applyNumberFormat="1" applyFont="1" applyFill="1" applyBorder="1" applyAlignment="1" applyProtection="1">
      <alignment horizontal="center" vertical="center"/>
    </xf>
    <xf numFmtId="178" fontId="57" fillId="3" borderId="4" xfId="0" applyNumberFormat="1" applyFont="1" applyFill="1" applyBorder="1" applyAlignment="1" applyProtection="1">
      <alignment horizontal="center" vertical="center"/>
    </xf>
    <xf numFmtId="0" fontId="35" fillId="2" borderId="23" xfId="0" applyFont="1" applyFill="1" applyBorder="1" applyAlignment="1" applyProtection="1">
      <alignment horizontal="center" vertical="center" wrapText="1"/>
      <protection locked="0"/>
    </xf>
    <xf numFmtId="0" fontId="35" fillId="2" borderId="24" xfId="0" applyFont="1" applyFill="1" applyBorder="1" applyAlignment="1" applyProtection="1">
      <alignment horizontal="center" vertical="center" wrapText="1"/>
      <protection locked="0"/>
    </xf>
    <xf numFmtId="0" fontId="35" fillId="2" borderId="22" xfId="0" applyFont="1" applyFill="1" applyBorder="1" applyAlignment="1" applyProtection="1">
      <alignment horizontal="center" vertical="center" wrapText="1"/>
      <protection locked="0"/>
    </xf>
    <xf numFmtId="182" fontId="35" fillId="0" borderId="23" xfId="1" applyNumberFormat="1" applyFont="1" applyBorder="1" applyAlignment="1" applyProtection="1">
      <alignment horizontal="right" vertical="center"/>
      <protection locked="0"/>
    </xf>
    <xf numFmtId="182" fontId="35" fillId="0" borderId="24" xfId="1" applyNumberFormat="1" applyFont="1" applyBorder="1" applyAlignment="1" applyProtection="1">
      <alignment horizontal="right" vertical="center"/>
      <protection locked="0"/>
    </xf>
    <xf numFmtId="0" fontId="35" fillId="0" borderId="18" xfId="0" applyFont="1" applyBorder="1" applyAlignment="1" applyProtection="1">
      <alignment horizontal="center" vertical="center"/>
      <protection locked="0"/>
    </xf>
    <xf numFmtId="0" fontId="35" fillId="0" borderId="19" xfId="0" applyFont="1" applyBorder="1" applyAlignment="1" applyProtection="1">
      <alignment horizontal="center" vertical="center"/>
      <protection locked="0"/>
    </xf>
    <xf numFmtId="0" fontId="35" fillId="0" borderId="17" xfId="0" applyFont="1" applyBorder="1" applyAlignment="1" applyProtection="1">
      <alignment horizontal="center" vertical="center"/>
      <protection locked="0"/>
    </xf>
    <xf numFmtId="0" fontId="35" fillId="2" borderId="44" xfId="0" applyFont="1" applyFill="1" applyBorder="1" applyAlignment="1" applyProtection="1">
      <alignment horizontal="center" vertical="center" wrapText="1"/>
      <protection locked="0"/>
    </xf>
    <xf numFmtId="0" fontId="35" fillId="2" borderId="45" xfId="0" applyFont="1" applyFill="1" applyBorder="1" applyAlignment="1" applyProtection="1">
      <alignment horizontal="center" vertical="center" wrapText="1"/>
      <protection locked="0"/>
    </xf>
    <xf numFmtId="0" fontId="35" fillId="2" borderId="46" xfId="0" applyFont="1" applyFill="1" applyBorder="1" applyAlignment="1" applyProtection="1">
      <alignment horizontal="center" vertical="center" wrapText="1"/>
      <protection locked="0"/>
    </xf>
    <xf numFmtId="0" fontId="35" fillId="0" borderId="44" xfId="0" applyFont="1" applyBorder="1" applyAlignment="1" applyProtection="1">
      <alignment horizontal="center" vertical="center" wrapText="1"/>
      <protection locked="0"/>
    </xf>
    <xf numFmtId="0" fontId="35" fillId="0" borderId="45" xfId="0" applyFont="1" applyBorder="1" applyAlignment="1" applyProtection="1">
      <alignment horizontal="center" vertical="center" wrapText="1"/>
      <protection locked="0"/>
    </xf>
    <xf numFmtId="0" fontId="35" fillId="0" borderId="46" xfId="0" applyFont="1" applyBorder="1" applyAlignment="1" applyProtection="1">
      <alignment horizontal="center" vertical="center" wrapText="1"/>
      <protection locked="0"/>
    </xf>
    <xf numFmtId="0" fontId="36" fillId="0" borderId="3" xfId="0" applyFont="1" applyFill="1" applyBorder="1" applyAlignment="1" applyProtection="1">
      <alignment horizontal="center" vertical="center" textRotation="255"/>
      <protection locked="0"/>
    </xf>
    <xf numFmtId="0" fontId="36" fillId="0" borderId="28" xfId="0" applyFont="1" applyFill="1" applyBorder="1" applyAlignment="1" applyProtection="1">
      <alignment horizontal="center" vertical="center" textRotation="255"/>
      <protection locked="0"/>
    </xf>
    <xf numFmtId="0" fontId="36" fillId="0" borderId="1" xfId="0" applyFont="1" applyFill="1" applyBorder="1" applyAlignment="1" applyProtection="1">
      <alignment horizontal="center" vertical="center" textRotation="255"/>
      <protection locked="0"/>
    </xf>
    <xf numFmtId="0" fontId="35" fillId="0" borderId="23" xfId="0" applyFont="1" applyBorder="1" applyAlignment="1" applyProtection="1">
      <alignment horizontal="center" vertical="center" wrapText="1"/>
      <protection locked="0"/>
    </xf>
    <xf numFmtId="0" fontId="35" fillId="0" borderId="24" xfId="0" applyFont="1" applyBorder="1" applyAlignment="1" applyProtection="1">
      <alignment horizontal="center" vertical="center" wrapText="1"/>
      <protection locked="0"/>
    </xf>
    <xf numFmtId="0" fontId="35" fillId="0" borderId="22" xfId="0" applyFont="1" applyBorder="1" applyAlignment="1" applyProtection="1">
      <alignment horizontal="center" vertical="center" wrapText="1"/>
      <protection locked="0"/>
    </xf>
    <xf numFmtId="0" fontId="48" fillId="0" borderId="0" xfId="0" applyFont="1" applyFill="1" applyBorder="1" applyAlignment="1" applyProtection="1">
      <alignment horizontal="left" vertical="center" wrapText="1"/>
      <protection locked="0"/>
    </xf>
    <xf numFmtId="0" fontId="39" fillId="0" borderId="0" xfId="0" applyFont="1" applyAlignment="1">
      <alignment vertical="center"/>
    </xf>
    <xf numFmtId="0" fontId="39" fillId="0" borderId="5" xfId="0" applyFont="1" applyFill="1" applyBorder="1" applyAlignment="1">
      <alignment horizontal="center" vertical="center"/>
    </xf>
    <xf numFmtId="0" fontId="39" fillId="0" borderId="4" xfId="0" applyFont="1" applyFill="1" applyBorder="1" applyAlignment="1">
      <alignment horizontal="center" vertical="center"/>
    </xf>
    <xf numFmtId="0" fontId="51" fillId="0" borderId="2" xfId="0" applyFont="1" applyFill="1" applyBorder="1" applyAlignment="1" applyProtection="1">
      <alignment horizontal="center" vertical="center" wrapText="1"/>
      <protection locked="0"/>
    </xf>
    <xf numFmtId="0" fontId="51" fillId="0" borderId="2" xfId="0" applyFont="1" applyFill="1" applyBorder="1" applyAlignment="1" applyProtection="1">
      <alignment horizontal="center" vertical="center"/>
      <protection locked="0"/>
    </xf>
    <xf numFmtId="0" fontId="51" fillId="0" borderId="10" xfId="0" applyFont="1" applyFill="1" applyBorder="1" applyAlignment="1" applyProtection="1">
      <alignment horizontal="center" vertical="center"/>
      <protection locked="0"/>
    </xf>
    <xf numFmtId="0" fontId="48" fillId="0" borderId="1" xfId="0" applyFont="1" applyFill="1" applyBorder="1" applyAlignment="1" applyProtection="1">
      <alignment horizontal="right" vertical="center"/>
      <protection locked="0"/>
    </xf>
    <xf numFmtId="0" fontId="39" fillId="0" borderId="1" xfId="0" applyFont="1" applyFill="1" applyBorder="1" applyAlignment="1">
      <alignment horizontal="right" vertical="center"/>
    </xf>
    <xf numFmtId="182" fontId="48" fillId="4" borderId="2" xfId="1" applyNumberFormat="1" applyFont="1" applyFill="1" applyBorder="1" applyAlignment="1" applyProtection="1">
      <alignment horizontal="right" vertical="center"/>
      <protection locked="0"/>
    </xf>
    <xf numFmtId="178" fontId="48" fillId="0" borderId="2" xfId="1" applyNumberFormat="1" applyFont="1" applyFill="1" applyBorder="1" applyAlignment="1" applyProtection="1">
      <alignment horizontal="right" vertical="center"/>
      <protection locked="0"/>
    </xf>
    <xf numFmtId="0" fontId="35" fillId="2" borderId="1" xfId="0" applyFont="1" applyFill="1" applyBorder="1" applyAlignment="1" applyProtection="1">
      <alignment horizontal="center" vertical="center" wrapText="1"/>
      <protection locked="0"/>
    </xf>
    <xf numFmtId="56" fontId="35" fillId="0" borderId="7" xfId="0" applyNumberFormat="1" applyFont="1" applyBorder="1" applyAlignment="1" applyProtection="1">
      <alignment horizontal="center" vertical="center"/>
    </xf>
    <xf numFmtId="0" fontId="35" fillId="0" borderId="12" xfId="0" applyFont="1" applyBorder="1" applyAlignment="1" applyProtection="1">
      <alignment horizontal="center" vertical="center"/>
    </xf>
    <xf numFmtId="0" fontId="35" fillId="0" borderId="11" xfId="0" applyFont="1" applyBorder="1" applyAlignment="1" applyProtection="1">
      <alignment horizontal="center" vertical="center"/>
    </xf>
    <xf numFmtId="0" fontId="54" fillId="0" borderId="6" xfId="0" applyFont="1" applyFill="1" applyBorder="1" applyAlignment="1" applyProtection="1">
      <alignment horizontal="center" vertical="center" wrapText="1"/>
      <protection locked="0"/>
    </xf>
    <xf numFmtId="0" fontId="54" fillId="0" borderId="5" xfId="0" applyFont="1" applyFill="1" applyBorder="1" applyAlignment="1" applyProtection="1">
      <alignment horizontal="center" vertical="center" wrapText="1"/>
      <protection locked="0"/>
    </xf>
    <xf numFmtId="0" fontId="54" fillId="0" borderId="5" xfId="0" applyFont="1" applyFill="1" applyBorder="1" applyAlignment="1" applyProtection="1">
      <alignment horizontal="center" vertical="center"/>
      <protection locked="0"/>
    </xf>
    <xf numFmtId="0" fontId="54" fillId="0" borderId="4" xfId="0" applyFont="1" applyFill="1" applyBorder="1" applyAlignment="1" applyProtection="1">
      <alignment horizontal="center" vertical="center"/>
      <protection locked="0"/>
    </xf>
    <xf numFmtId="0" fontId="54" fillId="0" borderId="4" xfId="0" applyFont="1" applyFill="1" applyBorder="1" applyAlignment="1" applyProtection="1">
      <alignment horizontal="center" vertical="center" wrapText="1"/>
      <protection locked="0"/>
    </xf>
    <xf numFmtId="182" fontId="56" fillId="0" borderId="25" xfId="0" applyNumberFormat="1" applyFont="1" applyFill="1" applyBorder="1" applyAlignment="1" applyProtection="1">
      <alignment horizontal="right" vertical="center"/>
      <protection locked="0"/>
    </xf>
    <xf numFmtId="182" fontId="56" fillId="0" borderId="26" xfId="0" applyNumberFormat="1" applyFont="1" applyFill="1" applyBorder="1" applyAlignment="1" applyProtection="1">
      <alignment horizontal="right" vertical="center"/>
      <protection locked="0"/>
    </xf>
    <xf numFmtId="182" fontId="35" fillId="0" borderId="18" xfId="1" applyNumberFormat="1" applyFont="1" applyFill="1" applyBorder="1" applyAlignment="1" applyProtection="1">
      <alignment horizontal="right" vertical="center"/>
      <protection locked="0"/>
    </xf>
    <xf numFmtId="182" fontId="35" fillId="0" borderId="19" xfId="1" applyNumberFormat="1" applyFont="1" applyFill="1" applyBorder="1" applyAlignment="1" applyProtection="1">
      <alignment horizontal="right" vertical="center"/>
      <protection locked="0"/>
    </xf>
    <xf numFmtId="178" fontId="57" fillId="3" borderId="10" xfId="0" applyNumberFormat="1" applyFont="1" applyFill="1" applyBorder="1" applyAlignment="1" applyProtection="1">
      <alignment horizontal="center" vertical="center"/>
    </xf>
    <xf numFmtId="178" fontId="57" fillId="3" borderId="9" xfId="0" applyNumberFormat="1" applyFont="1" applyFill="1" applyBorder="1" applyAlignment="1" applyProtection="1">
      <alignment horizontal="center" vertical="center"/>
    </xf>
    <xf numFmtId="178" fontId="57" fillId="3" borderId="8" xfId="0" applyNumberFormat="1" applyFont="1" applyFill="1" applyBorder="1" applyAlignment="1" applyProtection="1">
      <alignment horizontal="center" vertical="center"/>
    </xf>
    <xf numFmtId="182" fontId="35" fillId="0" borderId="23" xfId="1" applyNumberFormat="1" applyFont="1" applyFill="1" applyBorder="1" applyAlignment="1" applyProtection="1">
      <alignment horizontal="right" vertical="center"/>
      <protection locked="0"/>
    </xf>
    <xf numFmtId="182" fontId="35" fillId="0" borderId="24" xfId="1" applyNumberFormat="1" applyFont="1" applyFill="1" applyBorder="1" applyAlignment="1" applyProtection="1">
      <alignment horizontal="right" vertical="center"/>
      <protection locked="0"/>
    </xf>
    <xf numFmtId="0" fontId="35" fillId="2" borderId="10" xfId="0" applyFont="1" applyFill="1" applyBorder="1" applyAlignment="1" applyProtection="1">
      <alignment horizontal="center" vertical="center"/>
      <protection locked="0"/>
    </xf>
    <xf numFmtId="0" fontId="35" fillId="2" borderId="9" xfId="0" applyFont="1" applyFill="1" applyBorder="1" applyAlignment="1" applyProtection="1">
      <alignment horizontal="center" vertical="center"/>
      <protection locked="0"/>
    </xf>
    <xf numFmtId="0" fontId="35" fillId="2" borderId="8" xfId="0" applyFont="1" applyFill="1" applyBorder="1" applyAlignment="1" applyProtection="1">
      <alignment horizontal="center" vertical="center"/>
      <protection locked="0"/>
    </xf>
    <xf numFmtId="0" fontId="39" fillId="0" borderId="1" xfId="0" applyFont="1" applyBorder="1" applyAlignment="1">
      <alignment horizontal="right" vertical="center"/>
    </xf>
    <xf numFmtId="183" fontId="58" fillId="0" borderId="6" xfId="72" applyNumberFormat="1" applyFont="1" applyFill="1" applyBorder="1" applyAlignment="1">
      <alignment horizontal="center" vertical="center" wrapText="1"/>
    </xf>
    <xf numFmtId="183" fontId="58" fillId="0" borderId="5" xfId="72" applyNumberFormat="1" applyFont="1" applyFill="1" applyBorder="1" applyAlignment="1">
      <alignment horizontal="center" vertical="center" wrapText="1"/>
    </xf>
    <xf numFmtId="183" fontId="58" fillId="0" borderId="4" xfId="72" applyNumberFormat="1" applyFont="1" applyFill="1" applyBorder="1" applyAlignment="1">
      <alignment horizontal="center" vertical="center" wrapText="1"/>
    </xf>
    <xf numFmtId="183" fontId="58" fillId="0" borderId="14" xfId="72" applyNumberFormat="1" applyFont="1" applyFill="1" applyBorder="1" applyAlignment="1">
      <alignment horizontal="center" vertical="center" wrapText="1"/>
    </xf>
    <xf numFmtId="183" fontId="58" fillId="0" borderId="0" xfId="72" applyNumberFormat="1" applyFont="1" applyFill="1" applyBorder="1" applyAlignment="1">
      <alignment horizontal="center" vertical="center" wrapText="1"/>
    </xf>
    <xf numFmtId="183" fontId="58" fillId="0" borderId="13" xfId="72" applyNumberFormat="1" applyFont="1" applyFill="1" applyBorder="1" applyAlignment="1">
      <alignment horizontal="center" vertical="center" wrapText="1"/>
    </xf>
    <xf numFmtId="183" fontId="58" fillId="0" borderId="7" xfId="72" applyNumberFormat="1" applyFont="1" applyFill="1" applyBorder="1" applyAlignment="1">
      <alignment horizontal="center" vertical="center" wrapText="1"/>
    </xf>
    <xf numFmtId="183" fontId="58" fillId="0" borderId="12" xfId="72" applyNumberFormat="1" applyFont="1" applyFill="1" applyBorder="1" applyAlignment="1">
      <alignment horizontal="center" vertical="center" wrapText="1"/>
    </xf>
    <xf numFmtId="183" fontId="58" fillId="0" borderId="11" xfId="72" applyNumberFormat="1" applyFont="1" applyFill="1" applyBorder="1" applyAlignment="1">
      <alignment horizontal="center" vertical="center" wrapText="1"/>
    </xf>
    <xf numFmtId="183" fontId="58" fillId="0" borderId="10" xfId="72" applyNumberFormat="1" applyFont="1" applyFill="1" applyBorder="1" applyAlignment="1">
      <alignment horizontal="left" vertical="center"/>
    </xf>
    <xf numFmtId="183" fontId="58" fillId="0" borderId="9" xfId="72" applyNumberFormat="1" applyFont="1" applyFill="1" applyBorder="1" applyAlignment="1">
      <alignment horizontal="left" vertical="center"/>
    </xf>
    <xf numFmtId="183" fontId="58" fillId="0" borderId="9" xfId="72" applyNumberFormat="1" applyFont="1" applyFill="1" applyBorder="1" applyAlignment="1">
      <alignment horizontal="center" vertical="center"/>
    </xf>
    <xf numFmtId="183" fontId="58" fillId="0" borderId="8" xfId="72" applyNumberFormat="1" applyFont="1" applyFill="1" applyBorder="1" applyAlignment="1">
      <alignment horizontal="left" vertical="center"/>
    </xf>
    <xf numFmtId="183" fontId="58" fillId="0" borderId="10" xfId="72" applyNumberFormat="1" applyFont="1" applyFill="1" applyBorder="1" applyAlignment="1">
      <alignment horizontal="center" vertical="center" wrapText="1"/>
    </xf>
    <xf numFmtId="183" fontId="58" fillId="0" borderId="9" xfId="72" applyNumberFormat="1" applyFont="1" applyFill="1" applyBorder="1" applyAlignment="1">
      <alignment horizontal="center" vertical="center" wrapText="1"/>
    </xf>
    <xf numFmtId="183" fontId="58" fillId="0" borderId="8" xfId="72" applyNumberFormat="1" applyFont="1" applyFill="1" applyBorder="1" applyAlignment="1">
      <alignment horizontal="center" vertical="center" wrapText="1"/>
    </xf>
    <xf numFmtId="183" fontId="58" fillId="0" borderId="3" xfId="72" applyNumberFormat="1" applyFont="1" applyFill="1" applyBorder="1" applyAlignment="1">
      <alignment horizontal="center" vertical="center" wrapText="1"/>
    </xf>
    <xf numFmtId="183" fontId="58" fillId="0" borderId="28" xfId="72" applyNumberFormat="1" applyFont="1" applyFill="1" applyBorder="1" applyAlignment="1">
      <alignment horizontal="center" vertical="center" wrapText="1"/>
    </xf>
    <xf numFmtId="183" fontId="58" fillId="0" borderId="1" xfId="72" applyNumberFormat="1" applyFont="1" applyFill="1" applyBorder="1" applyAlignment="1">
      <alignment horizontal="center" vertical="center" wrapText="1"/>
    </xf>
    <xf numFmtId="183" fontId="58" fillId="0" borderId="2" xfId="72" applyNumberFormat="1" applyFont="1" applyFill="1" applyBorder="1" applyAlignment="1">
      <alignment horizontal="center" vertical="center" wrapText="1"/>
    </xf>
    <xf numFmtId="183" fontId="58" fillId="0" borderId="3" xfId="45" applyNumberFormat="1" applyFont="1" applyFill="1" applyBorder="1" applyAlignment="1">
      <alignment horizontal="center" vertical="center" wrapText="1"/>
    </xf>
    <xf numFmtId="183" fontId="58" fillId="0" borderId="1" xfId="45" applyNumberFormat="1" applyFont="1" applyFill="1" applyBorder="1" applyAlignment="1">
      <alignment horizontal="center" vertical="center" wrapText="1"/>
    </xf>
    <xf numFmtId="183" fontId="58" fillId="0" borderId="10" xfId="45" applyNumberFormat="1" applyFont="1" applyFill="1" applyBorder="1" applyAlignment="1">
      <alignment horizontal="center" vertical="center" wrapText="1"/>
    </xf>
    <xf numFmtId="183" fontId="58" fillId="0" borderId="8" xfId="45" applyNumberFormat="1" applyFont="1" applyFill="1" applyBorder="1" applyAlignment="1">
      <alignment horizontal="center" vertical="center" wrapText="1"/>
    </xf>
    <xf numFmtId="183" fontId="58" fillId="0" borderId="3" xfId="72" applyNumberFormat="1" applyFont="1" applyFill="1" applyBorder="1" applyAlignment="1">
      <alignment horizontal="left" vertical="center" wrapText="1"/>
    </xf>
    <xf numFmtId="183" fontId="58" fillId="0" borderId="28" xfId="72" applyNumberFormat="1" applyFont="1" applyFill="1" applyBorder="1" applyAlignment="1">
      <alignment horizontal="left" vertical="center" wrapText="1"/>
    </xf>
    <xf numFmtId="183" fontId="58" fillId="0" borderId="1" xfId="72" applyNumberFormat="1" applyFont="1" applyFill="1" applyBorder="1" applyAlignment="1">
      <alignment horizontal="left" vertical="center" wrapText="1"/>
    </xf>
    <xf numFmtId="183" fontId="58" fillId="0" borderId="10" xfId="72" applyNumberFormat="1" applyFont="1" applyFill="1" applyBorder="1" applyAlignment="1">
      <alignment horizontal="center" vertical="center"/>
    </xf>
    <xf numFmtId="183" fontId="58" fillId="0" borderId="8" xfId="72" applyNumberFormat="1" applyFont="1" applyFill="1" applyBorder="1" applyAlignment="1">
      <alignment horizontal="center" vertical="center"/>
    </xf>
    <xf numFmtId="49" fontId="58" fillId="0" borderId="2" xfId="72" applyNumberFormat="1" applyFont="1" applyFill="1" applyBorder="1" applyAlignment="1">
      <alignment horizontal="left" vertical="center" wrapText="1"/>
    </xf>
    <xf numFmtId="49" fontId="58" fillId="0" borderId="2" xfId="72" applyNumberFormat="1" applyFont="1" applyFill="1" applyBorder="1" applyAlignment="1">
      <alignment horizontal="left" vertical="center"/>
    </xf>
    <xf numFmtId="183" fontId="58" fillId="0" borderId="2" xfId="72" applyNumberFormat="1" applyFont="1" applyFill="1" applyBorder="1" applyAlignment="1">
      <alignment horizontal="left" vertical="center"/>
    </xf>
    <xf numFmtId="183" fontId="58" fillId="0" borderId="2" xfId="72" applyNumberFormat="1" applyFont="1" applyFill="1" applyBorder="1" applyAlignment="1">
      <alignment horizontal="left" vertical="center" wrapText="1"/>
    </xf>
  </cellXfs>
  <cellStyles count="217">
    <cellStyle name="20% - アクセント 1" xfId="22" builtinId="30" customBuiltin="1"/>
    <cellStyle name="20% - アクセント 1 2" xfId="75" xr:uid="{00000000-0005-0000-0000-00004F000000}"/>
    <cellStyle name="20% - アクセント 1 3" xfId="148" xr:uid="{00000000-0005-0000-0000-000096000000}"/>
    <cellStyle name="20% - アクセント 1 3 2" xfId="181" xr:uid="{00000000-0005-0000-0000-000002000000}"/>
    <cellStyle name="20% - アクセント 2" xfId="26" builtinId="34" customBuiltin="1"/>
    <cellStyle name="20% - アクセント 2 2" xfId="76" xr:uid="{00000000-0005-0000-0000-000050000000}"/>
    <cellStyle name="20% - アクセント 2 3" xfId="150" xr:uid="{00000000-0005-0000-0000-000097000000}"/>
    <cellStyle name="20% - アクセント 2 3 2" xfId="182" xr:uid="{00000000-0005-0000-0000-000005000000}"/>
    <cellStyle name="20% - アクセント 3" xfId="30" builtinId="38" customBuiltin="1"/>
    <cellStyle name="20% - アクセント 3 2" xfId="77" xr:uid="{00000000-0005-0000-0000-000051000000}"/>
    <cellStyle name="20% - アクセント 3 3" xfId="152" xr:uid="{00000000-0005-0000-0000-000098000000}"/>
    <cellStyle name="20% - アクセント 3 3 2" xfId="183" xr:uid="{00000000-0005-0000-0000-000008000000}"/>
    <cellStyle name="20% - アクセント 4" xfId="34" builtinId="42" customBuiltin="1"/>
    <cellStyle name="20% - アクセント 4 2" xfId="78" xr:uid="{00000000-0005-0000-0000-000052000000}"/>
    <cellStyle name="20% - アクセント 4 3" xfId="154" xr:uid="{00000000-0005-0000-0000-000099000000}"/>
    <cellStyle name="20% - アクセント 4 3 2" xfId="184" xr:uid="{00000000-0005-0000-0000-00000B000000}"/>
    <cellStyle name="20% - アクセント 5" xfId="38" builtinId="46" customBuiltin="1"/>
    <cellStyle name="20% - アクセント 5 2" xfId="79" xr:uid="{00000000-0005-0000-0000-000053000000}"/>
    <cellStyle name="20% - アクセント 5 3" xfId="156" xr:uid="{00000000-0005-0000-0000-00009A000000}"/>
    <cellStyle name="20% - アクセント 5 3 2" xfId="185" xr:uid="{00000000-0005-0000-0000-00000E000000}"/>
    <cellStyle name="20% - アクセント 6" xfId="42" builtinId="50" customBuiltin="1"/>
    <cellStyle name="20% - アクセント 6 2" xfId="80" xr:uid="{00000000-0005-0000-0000-000054000000}"/>
    <cellStyle name="20% - アクセント 6 3" xfId="158" xr:uid="{00000000-0005-0000-0000-00009B000000}"/>
    <cellStyle name="20% - アクセント 6 3 2" xfId="186" xr:uid="{00000000-0005-0000-0000-000011000000}"/>
    <cellStyle name="40% - アクセント 1" xfId="23" builtinId="31" customBuiltin="1"/>
    <cellStyle name="40% - アクセント 1 2" xfId="81" xr:uid="{00000000-0005-0000-0000-000055000000}"/>
    <cellStyle name="40% - アクセント 1 3" xfId="149" xr:uid="{00000000-0005-0000-0000-00009C000000}"/>
    <cellStyle name="40% - アクセント 1 3 2" xfId="187" xr:uid="{00000000-0005-0000-0000-000014000000}"/>
    <cellStyle name="40% - アクセント 2" xfId="27" builtinId="35" customBuiltin="1"/>
    <cellStyle name="40% - アクセント 2 2" xfId="82" xr:uid="{00000000-0005-0000-0000-000056000000}"/>
    <cellStyle name="40% - アクセント 2 3" xfId="151" xr:uid="{00000000-0005-0000-0000-00009D000000}"/>
    <cellStyle name="40% - アクセント 2 3 2" xfId="188" xr:uid="{00000000-0005-0000-0000-000017000000}"/>
    <cellStyle name="40% - アクセント 3" xfId="31" builtinId="39" customBuiltin="1"/>
    <cellStyle name="40% - アクセント 3 2" xfId="83" xr:uid="{00000000-0005-0000-0000-000057000000}"/>
    <cellStyle name="40% - アクセント 3 3" xfId="153" xr:uid="{00000000-0005-0000-0000-00009E000000}"/>
    <cellStyle name="40% - アクセント 3 3 2" xfId="189" xr:uid="{00000000-0005-0000-0000-00001A000000}"/>
    <cellStyle name="40% - アクセント 4" xfId="35" builtinId="43" customBuiltin="1"/>
    <cellStyle name="40% - アクセント 4 2" xfId="84" xr:uid="{00000000-0005-0000-0000-000058000000}"/>
    <cellStyle name="40% - アクセント 4 3" xfId="155" xr:uid="{00000000-0005-0000-0000-00009F000000}"/>
    <cellStyle name="40% - アクセント 4 3 2" xfId="190" xr:uid="{00000000-0005-0000-0000-00001D000000}"/>
    <cellStyle name="40% - アクセント 5" xfId="39" builtinId="47" customBuiltin="1"/>
    <cellStyle name="40% - アクセント 5 2" xfId="85" xr:uid="{00000000-0005-0000-0000-000059000000}"/>
    <cellStyle name="40% - アクセント 5 3" xfId="157" xr:uid="{00000000-0005-0000-0000-0000A0000000}"/>
    <cellStyle name="40% - アクセント 5 3 2" xfId="191" xr:uid="{00000000-0005-0000-0000-000020000000}"/>
    <cellStyle name="40% - アクセント 6" xfId="43" builtinId="51" customBuiltin="1"/>
    <cellStyle name="40% - アクセント 6 2" xfId="86" xr:uid="{00000000-0005-0000-0000-00005A000000}"/>
    <cellStyle name="40% - アクセント 6 3" xfId="159" xr:uid="{00000000-0005-0000-0000-0000A1000000}"/>
    <cellStyle name="40% - アクセント 6 3 2" xfId="192" xr:uid="{00000000-0005-0000-0000-000023000000}"/>
    <cellStyle name="60% - アクセント 1" xfId="24" builtinId="32" customBuiltin="1"/>
    <cellStyle name="60% - アクセント 1 2" xfId="87" xr:uid="{00000000-0005-0000-0000-00005B000000}"/>
    <cellStyle name="60% - アクセント 2" xfId="28" builtinId="36" customBuiltin="1"/>
    <cellStyle name="60% - アクセント 2 2" xfId="88" xr:uid="{00000000-0005-0000-0000-00005C000000}"/>
    <cellStyle name="60% - アクセント 3" xfId="32" builtinId="40" customBuiltin="1"/>
    <cellStyle name="60% - アクセント 3 2" xfId="89" xr:uid="{00000000-0005-0000-0000-00005D000000}"/>
    <cellStyle name="60% - アクセント 4" xfId="36" builtinId="44" customBuiltin="1"/>
    <cellStyle name="60% - アクセント 4 2" xfId="90" xr:uid="{00000000-0005-0000-0000-00005E000000}"/>
    <cellStyle name="60% - アクセント 5" xfId="40" builtinId="48" customBuiltin="1"/>
    <cellStyle name="60% - アクセント 5 2" xfId="91" xr:uid="{00000000-0005-0000-0000-00005F000000}"/>
    <cellStyle name="60% - アクセント 6" xfId="44" builtinId="52" customBuiltin="1"/>
    <cellStyle name="60% - アクセント 6 2" xfId="92" xr:uid="{00000000-0005-0000-0000-000060000000}"/>
    <cellStyle name="アクセント 1" xfId="21" builtinId="29" customBuiltin="1"/>
    <cellStyle name="アクセント 1 2" xfId="94" xr:uid="{00000000-0005-0000-0000-000061000000}"/>
    <cellStyle name="アクセント 2" xfId="25" builtinId="33" customBuiltin="1"/>
    <cellStyle name="アクセント 2 2" xfId="95" xr:uid="{00000000-0005-0000-0000-000062000000}"/>
    <cellStyle name="アクセント 3" xfId="29" builtinId="37" customBuiltin="1"/>
    <cellStyle name="アクセント 3 2" xfId="96" xr:uid="{00000000-0005-0000-0000-000063000000}"/>
    <cellStyle name="アクセント 4" xfId="33" builtinId="41" customBuiltin="1"/>
    <cellStyle name="アクセント 4 2" xfId="97" xr:uid="{00000000-0005-0000-0000-000064000000}"/>
    <cellStyle name="アクセント 5" xfId="37" builtinId="45" customBuiltin="1"/>
    <cellStyle name="アクセント 5 2" xfId="98" xr:uid="{00000000-0005-0000-0000-000065000000}"/>
    <cellStyle name="アクセント 6" xfId="41" builtinId="49" customBuiltin="1"/>
    <cellStyle name="アクセント 6 2" xfId="99" xr:uid="{00000000-0005-0000-0000-000066000000}"/>
    <cellStyle name="タイトル 2" xfId="46" xr:uid="{00000000-0005-0000-0000-000018000000}"/>
    <cellStyle name="タイトル 2 2" xfId="100" xr:uid="{00000000-0005-0000-0000-000019000000}"/>
    <cellStyle name="チェック セル" xfId="17" builtinId="23" customBuiltin="1"/>
    <cellStyle name="チェック セル 2" xfId="101" xr:uid="{00000000-0005-0000-0000-000068000000}"/>
    <cellStyle name="どちらでもない" xfId="12" builtinId="28" customBuiltin="1"/>
    <cellStyle name="どちらでもない 2" xfId="93" xr:uid="{00000000-0005-0000-0000-000069000000}"/>
    <cellStyle name="パーセント" xfId="4" builtinId="5"/>
    <cellStyle name="パーセント 2" xfId="144" xr:uid="{00000000-0005-0000-0000-00006A000000}"/>
    <cellStyle name="メモ 2" xfId="47" xr:uid="{00000000-0005-0000-0000-00001C000000}"/>
    <cellStyle name="メモ 2 2" xfId="102" xr:uid="{00000000-0005-0000-0000-00001B000000}"/>
    <cellStyle name="メモ 2 3" xfId="161" xr:uid="{00000000-0005-0000-0000-00001C000000}"/>
    <cellStyle name="メモ 2 3 2" xfId="193" xr:uid="{00000000-0005-0000-0000-000045000000}"/>
    <cellStyle name="リンク セル" xfId="16" builtinId="24" customBuiltin="1"/>
    <cellStyle name="リンク セル 2" xfId="103" xr:uid="{00000000-0005-0000-0000-00006C000000}"/>
    <cellStyle name="悪い" xfId="11" builtinId="27" customBuiltin="1"/>
    <cellStyle name="悪い 2" xfId="106" xr:uid="{00000000-0005-0000-0000-00006D000000}"/>
    <cellStyle name="計算" xfId="15" builtinId="22" customBuiltin="1"/>
    <cellStyle name="計算 2" xfId="139" xr:uid="{00000000-0005-0000-0000-00006E000000}"/>
    <cellStyle name="警告文" xfId="18" builtinId="11" customBuiltin="1"/>
    <cellStyle name="警告文 2" xfId="141" xr:uid="{00000000-0005-0000-0000-00006F000000}"/>
    <cellStyle name="桁区切り" xfId="1" builtinId="6"/>
    <cellStyle name="桁区切り 2" xfId="49" xr:uid="{00000000-0005-0000-0000-000022000000}"/>
    <cellStyle name="桁区切り 2 2" xfId="107" xr:uid="{00000000-0005-0000-0000-000020000000}"/>
    <cellStyle name="桁区切り 3" xfId="50" xr:uid="{00000000-0005-0000-0000-000023000000}"/>
    <cellStyle name="桁区切り 3 10" xfId="63" xr:uid="{00000000-0005-0000-0000-000024000000}"/>
    <cellStyle name="桁区切り 3 10 2" xfId="109" xr:uid="{00000000-0005-0000-0000-000022000000}"/>
    <cellStyle name="桁区切り 3 11" xfId="66" xr:uid="{00000000-0005-0000-0000-000025000000}"/>
    <cellStyle name="桁区切り 3 11 2" xfId="110" xr:uid="{00000000-0005-0000-0000-000023000000}"/>
    <cellStyle name="桁区切り 3 11 3" xfId="174" xr:uid="{00000000-0005-0000-0000-000025000000}"/>
    <cellStyle name="桁区切り 3 11 3 2" xfId="194" xr:uid="{00000000-0005-0000-0000-000055000000}"/>
    <cellStyle name="桁区切り 3 2" xfId="59" xr:uid="{00000000-0005-0000-0000-000026000000}"/>
    <cellStyle name="桁区切り 3 2 2" xfId="111" xr:uid="{00000000-0005-0000-0000-000024000000}"/>
    <cellStyle name="桁区切り 3 2 3" xfId="169" xr:uid="{00000000-0005-0000-0000-000026000000}"/>
    <cellStyle name="桁区切り 3 2 3 2" xfId="195" xr:uid="{00000000-0005-0000-0000-000058000000}"/>
    <cellStyle name="桁区切り 3 2 4" xfId="68" xr:uid="{00000000-0005-0000-0000-000027000000}"/>
    <cellStyle name="桁区切り 3 2 4 2" xfId="112" xr:uid="{00000000-0005-0000-0000-000025000000}"/>
    <cellStyle name="桁区切り 3 2 4 3" xfId="176" xr:uid="{00000000-0005-0000-0000-000027000000}"/>
    <cellStyle name="桁区切り 3 2 4 3 2" xfId="196" xr:uid="{00000000-0005-0000-0000-00005B000000}"/>
    <cellStyle name="桁区切り 3 3" xfId="54" xr:uid="{00000000-0005-0000-0000-000028000000}"/>
    <cellStyle name="桁区切り 3 3 2" xfId="58" xr:uid="{00000000-0005-0000-0000-000029000000}"/>
    <cellStyle name="桁区切り 3 3 2 2" xfId="114" xr:uid="{00000000-0005-0000-0000-000027000000}"/>
    <cellStyle name="桁区切り 3 3 2 3" xfId="168" xr:uid="{00000000-0005-0000-0000-000029000000}"/>
    <cellStyle name="桁区切り 3 3 2 3 2" xfId="197" xr:uid="{00000000-0005-0000-0000-00005F000000}"/>
    <cellStyle name="桁区切り 3 3 3" xfId="113" xr:uid="{00000000-0005-0000-0000-000026000000}"/>
    <cellStyle name="桁区切り 3 3 4" xfId="164" xr:uid="{00000000-0005-0000-0000-000028000000}"/>
    <cellStyle name="桁区切り 3 3 4 2" xfId="198" xr:uid="{00000000-0005-0000-0000-000061000000}"/>
    <cellStyle name="桁区切り 3 4" xfId="57" xr:uid="{00000000-0005-0000-0000-00002A000000}"/>
    <cellStyle name="桁区切り 3 4 2" xfId="115" xr:uid="{00000000-0005-0000-0000-000028000000}"/>
    <cellStyle name="桁区切り 3 4 3" xfId="167" xr:uid="{00000000-0005-0000-0000-00002A000000}"/>
    <cellStyle name="桁区切り 3 4 3 2" xfId="199" xr:uid="{00000000-0005-0000-0000-000064000000}"/>
    <cellStyle name="桁区切り 3 5" xfId="73" xr:uid="{85CD1A31-02B0-4965-A5D6-F94117C83B83}"/>
    <cellStyle name="桁区切り 3 5 2" xfId="116" xr:uid="{00000000-0005-0000-0000-000029000000}"/>
    <cellStyle name="桁区切り 3 5 3" xfId="180" xr:uid="{85CD1A31-02B0-4965-A5D6-F94117C83B83}"/>
    <cellStyle name="桁区切り 3 5 3 2" xfId="200" xr:uid="{00000000-0005-0000-0000-000067000000}"/>
    <cellStyle name="桁区切り 3 6" xfId="60" xr:uid="{00000000-0005-0000-0000-00002B000000}"/>
    <cellStyle name="桁区切り 3 6 2" xfId="117" xr:uid="{00000000-0005-0000-0000-00002A000000}"/>
    <cellStyle name="桁区切り 3 6 3" xfId="170" xr:uid="{00000000-0005-0000-0000-00002B000000}"/>
    <cellStyle name="桁区切り 3 6 3 2" xfId="201" xr:uid="{00000000-0005-0000-0000-00006A000000}"/>
    <cellStyle name="桁区切り 3 7" xfId="62" xr:uid="{00000000-0005-0000-0000-00002C000000}"/>
    <cellStyle name="桁区切り 3 7 2" xfId="118" xr:uid="{00000000-0005-0000-0000-00002B000000}"/>
    <cellStyle name="桁区切り 3 7 3" xfId="172" xr:uid="{00000000-0005-0000-0000-00002C000000}"/>
    <cellStyle name="桁区切り 3 7 3 2" xfId="202" xr:uid="{00000000-0005-0000-0000-00006D000000}"/>
    <cellStyle name="桁区切り 3 8" xfId="108" xr:uid="{00000000-0005-0000-0000-000021000000}"/>
    <cellStyle name="桁区切り 3 9" xfId="162" xr:uid="{00000000-0005-0000-0000-000023000000}"/>
    <cellStyle name="桁区切り 3 9 2" xfId="203" xr:uid="{00000000-0005-0000-0000-00006F000000}"/>
    <cellStyle name="桁区切り 4" xfId="143" xr:uid="{00000000-0005-0000-0000-000070000000}"/>
    <cellStyle name="見出し 1" xfId="6" builtinId="16" customBuiltin="1"/>
    <cellStyle name="見出し 1 2" xfId="135" xr:uid="{00000000-0005-0000-0000-00007D000000}"/>
    <cellStyle name="見出し 2" xfId="7" builtinId="17" customBuiltin="1"/>
    <cellStyle name="見出し 2 2" xfId="136" xr:uid="{00000000-0005-0000-0000-00007E000000}"/>
    <cellStyle name="見出し 3" xfId="8" builtinId="18" customBuiltin="1"/>
    <cellStyle name="見出し 3 2" xfId="137" xr:uid="{00000000-0005-0000-0000-00007F000000}"/>
    <cellStyle name="見出し 4" xfId="9" builtinId="19" customBuiltin="1"/>
    <cellStyle name="見出し 4 2" xfId="138" xr:uid="{00000000-0005-0000-0000-000080000000}"/>
    <cellStyle name="集計" xfId="20" builtinId="25" customBuiltin="1"/>
    <cellStyle name="集計 2" xfId="142" xr:uid="{00000000-0005-0000-0000-000081000000}"/>
    <cellStyle name="出力" xfId="14" builtinId="21" customBuiltin="1"/>
    <cellStyle name="出力 2" xfId="105" xr:uid="{00000000-0005-0000-0000-000082000000}"/>
    <cellStyle name="説明文" xfId="19" builtinId="53" customBuiltin="1"/>
    <cellStyle name="説明文 2" xfId="140" xr:uid="{00000000-0005-0000-0000-000083000000}"/>
    <cellStyle name="入力" xfId="13" builtinId="20" customBuiltin="1"/>
    <cellStyle name="入力 2" xfId="104" xr:uid="{00000000-0005-0000-0000-000084000000}"/>
    <cellStyle name="標準" xfId="0" builtinId="0"/>
    <cellStyle name="標準 2" xfId="48" xr:uid="{00000000-0005-0000-0000-000036000000}"/>
    <cellStyle name="標準 2 2" xfId="119" xr:uid="{00000000-0005-0000-0000-00002D000000}"/>
    <cellStyle name="標準 3" xfId="45" xr:uid="{00000000-0005-0000-0000-000037000000}"/>
    <cellStyle name="標準 3 2" xfId="67" xr:uid="{00000000-0005-0000-0000-000038000000}"/>
    <cellStyle name="標準 3 2 2" xfId="2" xr:uid="{00000000-0005-0000-0000-000039000000}"/>
    <cellStyle name="標準 3 2 2 2" xfId="3" xr:uid="{00000000-0005-0000-0000-00003A000000}"/>
    <cellStyle name="標準 3 2 2 2 2" xfId="70" xr:uid="{00000000-0005-0000-0000-00003B000000}"/>
    <cellStyle name="標準 3 2 2 2 2 2" xfId="124" xr:uid="{00000000-0005-0000-0000-000032000000}"/>
    <cellStyle name="標準 3 2 2 2 2 3" xfId="177" xr:uid="{00000000-0005-0000-0000-00003B000000}"/>
    <cellStyle name="標準 3 2 2 2 2 3 2" xfId="204" xr:uid="{00000000-0005-0000-0000-00007A000000}"/>
    <cellStyle name="標準 3 2 2 2 3" xfId="53" xr:uid="{00000000-0005-0000-0000-00003C000000}"/>
    <cellStyle name="標準 3 2 2 2 3 2" xfId="125" xr:uid="{00000000-0005-0000-0000-000033000000}"/>
    <cellStyle name="標準 3 2 2 2 3 3" xfId="163" xr:uid="{00000000-0005-0000-0000-00003C000000}"/>
    <cellStyle name="標準 3 2 2 2 3 3 2" xfId="205" xr:uid="{00000000-0005-0000-0000-00007D000000}"/>
    <cellStyle name="標準 3 2 2 2 4" xfId="56" xr:uid="{00000000-0005-0000-0000-00003D000000}"/>
    <cellStyle name="標準 3 2 2 2 4 2" xfId="126" xr:uid="{00000000-0005-0000-0000-000034000000}"/>
    <cellStyle name="標準 3 2 2 2 4 3" xfId="166" xr:uid="{00000000-0005-0000-0000-00003D000000}"/>
    <cellStyle name="標準 3 2 2 2 4 3 2" xfId="206" xr:uid="{00000000-0005-0000-0000-000080000000}"/>
    <cellStyle name="標準 3 2 2 2 5" xfId="123" xr:uid="{00000000-0005-0000-0000-000031000000}"/>
    <cellStyle name="標準 3 2 2 2 6" xfId="146" xr:uid="{00000000-0005-0000-0000-00003A000000}"/>
    <cellStyle name="標準 3 2 2 2 6 2" xfId="207" xr:uid="{00000000-0005-0000-0000-000082000000}"/>
    <cellStyle name="標準 3 2 2 2 7" xfId="65" xr:uid="{00000000-0005-0000-0000-00003E000000}"/>
    <cellStyle name="標準 3 2 2 2 7 2" xfId="127" xr:uid="{00000000-0005-0000-0000-000035000000}"/>
    <cellStyle name="標準 3 2 2 2 7 3" xfId="173" xr:uid="{00000000-0005-0000-0000-00003E000000}"/>
    <cellStyle name="標準 3 2 2 2 7 3 2" xfId="208" xr:uid="{00000000-0005-0000-0000-000085000000}"/>
    <cellStyle name="標準 3 2 2 3" xfId="5" xr:uid="{00000000-0005-0000-0000-00003F000000}"/>
    <cellStyle name="標準 3 2 2 3 2" xfId="71" xr:uid="{00000000-0005-0000-0000-000040000000}"/>
    <cellStyle name="標準 3 2 2 3 2 2" xfId="129" xr:uid="{00000000-0005-0000-0000-000037000000}"/>
    <cellStyle name="標準 3 2 2 3 2 3" xfId="178" xr:uid="{00000000-0005-0000-0000-000040000000}"/>
    <cellStyle name="標準 3 2 2 3 2 3 2" xfId="209" xr:uid="{00000000-0005-0000-0000-000089000000}"/>
    <cellStyle name="標準 3 2 2 3 3" xfId="128" xr:uid="{00000000-0005-0000-0000-000036000000}"/>
    <cellStyle name="標準 3 2 2 3 4" xfId="147" xr:uid="{00000000-0005-0000-0000-00003F000000}"/>
    <cellStyle name="標準 3 2 2 3 4 2" xfId="210" xr:uid="{00000000-0005-0000-0000-00008B000000}"/>
    <cellStyle name="標準 3 2 2 4" xfId="122" xr:uid="{00000000-0005-0000-0000-000030000000}"/>
    <cellStyle name="標準 3 2 2 5" xfId="145" xr:uid="{00000000-0005-0000-0000-000039000000}"/>
    <cellStyle name="標準 3 2 2 5 2" xfId="211" xr:uid="{00000000-0005-0000-0000-00008D000000}"/>
    <cellStyle name="標準 3 2 3" xfId="121" xr:uid="{00000000-0005-0000-0000-00002F000000}"/>
    <cellStyle name="標準 3 2 4" xfId="175" xr:uid="{00000000-0005-0000-0000-000038000000}"/>
    <cellStyle name="標準 3 2 4 2" xfId="212" xr:uid="{00000000-0005-0000-0000-00008F000000}"/>
    <cellStyle name="標準 3 3" xfId="55" xr:uid="{00000000-0005-0000-0000-000041000000}"/>
    <cellStyle name="標準 3 3 2" xfId="130" xr:uid="{00000000-0005-0000-0000-000038000000}"/>
    <cellStyle name="標準 3 3 3" xfId="165" xr:uid="{00000000-0005-0000-0000-000041000000}"/>
    <cellStyle name="標準 3 3 3 2" xfId="213" xr:uid="{00000000-0005-0000-0000-000092000000}"/>
    <cellStyle name="標準 3 4" xfId="72" xr:uid="{A69CB88E-C51E-4E8B-B2AC-54A3BFA8C496}"/>
    <cellStyle name="標準 3 4 2" xfId="131" xr:uid="{00000000-0005-0000-0000-000039000000}"/>
    <cellStyle name="標準 3 4 3" xfId="179" xr:uid="{A69CB88E-C51E-4E8B-B2AC-54A3BFA8C496}"/>
    <cellStyle name="標準 3 4 3 2" xfId="214" xr:uid="{00000000-0005-0000-0000-000095000000}"/>
    <cellStyle name="標準 3 5" xfId="120" xr:uid="{00000000-0005-0000-0000-00002E000000}"/>
    <cellStyle name="標準 3 6" xfId="61" xr:uid="{00000000-0005-0000-0000-000042000000}"/>
    <cellStyle name="標準 3 6 2" xfId="132" xr:uid="{00000000-0005-0000-0000-00003A000000}"/>
    <cellStyle name="標準 3 6 3" xfId="171" xr:uid="{00000000-0005-0000-0000-000042000000}"/>
    <cellStyle name="標準 3 6 3 2" xfId="215" xr:uid="{00000000-0005-0000-0000-000099000000}"/>
    <cellStyle name="標準 3 7" xfId="160" xr:uid="{00000000-0005-0000-0000-000037000000}"/>
    <cellStyle name="標準 3 7 2" xfId="216" xr:uid="{00000000-0005-0000-0000-00009A000000}"/>
    <cellStyle name="標準 4" xfId="51" xr:uid="{00000000-0005-0000-0000-000043000000}"/>
    <cellStyle name="標準 4 2" xfId="69" xr:uid="{00000000-0005-0000-0000-000044000000}"/>
    <cellStyle name="標準 5" xfId="74" xr:uid="{00000000-0005-0000-0000-000085000000}"/>
    <cellStyle name="標準 6" xfId="64" xr:uid="{00000000-0005-0000-0000-000045000000}"/>
    <cellStyle name="標準 6 2" xfId="133" xr:uid="{00000000-0005-0000-0000-00003D000000}"/>
    <cellStyle name="標準_Sheet1" xfId="52" xr:uid="{00000000-0005-0000-0000-000046000000}"/>
    <cellStyle name="良い" xfId="10" builtinId="26" customBuiltin="1"/>
    <cellStyle name="良い 2" xfId="134" xr:uid="{00000000-0005-0000-0000-000096000000}"/>
  </cellStyles>
  <dxfs count="143">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FFB7B7"/>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7"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drawings/drawing1.xml><?xml version="1.0" encoding="utf-8"?>
<xdr:wsDr xmlns:xdr="http://schemas.openxmlformats.org/drawingml/2006/spreadsheetDrawing" xmlns:a="http://schemas.openxmlformats.org/drawingml/2006/main">
  <xdr:twoCellAnchor>
    <xdr:from>
      <xdr:col>2</xdr:col>
      <xdr:colOff>424542</xdr:colOff>
      <xdr:row>45</xdr:row>
      <xdr:rowOff>32657</xdr:rowOff>
    </xdr:from>
    <xdr:to>
      <xdr:col>37</xdr:col>
      <xdr:colOff>32656</xdr:colOff>
      <xdr:row>46</xdr:row>
      <xdr:rowOff>0</xdr:rowOff>
    </xdr:to>
    <xdr:sp macro="" textlink="">
      <xdr:nvSpPr>
        <xdr:cNvPr id="2" name="AutoShape 28">
          <a:extLst>
            <a:ext uri="{FF2B5EF4-FFF2-40B4-BE49-F238E27FC236}">
              <a16:creationId xmlns:a16="http://schemas.microsoft.com/office/drawing/2014/main" id="{00000000-0008-0000-0000-000002000000}"/>
            </a:ext>
          </a:extLst>
        </xdr:cNvPr>
        <xdr:cNvSpPr>
          <a:spLocks noChangeArrowheads="1"/>
        </xdr:cNvSpPr>
      </xdr:nvSpPr>
      <xdr:spPr bwMode="auto">
        <a:xfrm>
          <a:off x="615042" y="20060557"/>
          <a:ext cx="13197114" cy="589643"/>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97972</xdr:colOff>
      <xdr:row>51</xdr:row>
      <xdr:rowOff>152400</xdr:rowOff>
    </xdr:from>
    <xdr:to>
      <xdr:col>3</xdr:col>
      <xdr:colOff>32658</xdr:colOff>
      <xdr:row>54</xdr:row>
      <xdr:rowOff>10886</xdr:rowOff>
    </xdr:to>
    <xdr:sp macro="" textlink="">
      <xdr:nvSpPr>
        <xdr:cNvPr id="3" name="AutoShape 28">
          <a:extLst>
            <a:ext uri="{FF2B5EF4-FFF2-40B4-BE49-F238E27FC236}">
              <a16:creationId xmlns:a16="http://schemas.microsoft.com/office/drawing/2014/main" id="{00000000-0008-0000-0000-000003000000}"/>
            </a:ext>
          </a:extLst>
        </xdr:cNvPr>
        <xdr:cNvSpPr>
          <a:spLocks noChangeArrowheads="1"/>
        </xdr:cNvSpPr>
      </xdr:nvSpPr>
      <xdr:spPr bwMode="auto">
        <a:xfrm>
          <a:off x="142422" y="22301200"/>
          <a:ext cx="525236" cy="677636"/>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ja-JP" altLang="en-US"/>
        </a:p>
      </xdr:txBody>
    </xdr:sp>
    <xdr:clientData/>
  </xdr:twoCellAnchor>
  <xdr:twoCellAnchor>
    <xdr:from>
      <xdr:col>2</xdr:col>
      <xdr:colOff>3415</xdr:colOff>
      <xdr:row>78</xdr:row>
      <xdr:rowOff>748</xdr:rowOff>
    </xdr:from>
    <xdr:to>
      <xdr:col>3</xdr:col>
      <xdr:colOff>3414</xdr:colOff>
      <xdr:row>78</xdr:row>
      <xdr:rowOff>346210</xdr:rowOff>
    </xdr:to>
    <xdr:sp macro="" textlink="">
      <xdr:nvSpPr>
        <xdr:cNvPr id="4" name="AutoShape 28">
          <a:extLst>
            <a:ext uri="{FF2B5EF4-FFF2-40B4-BE49-F238E27FC236}">
              <a16:creationId xmlns:a16="http://schemas.microsoft.com/office/drawing/2014/main" id="{00000000-0008-0000-0000-000004000000}"/>
            </a:ext>
          </a:extLst>
        </xdr:cNvPr>
        <xdr:cNvSpPr>
          <a:spLocks noChangeArrowheads="1"/>
        </xdr:cNvSpPr>
      </xdr:nvSpPr>
      <xdr:spPr bwMode="auto">
        <a:xfrm>
          <a:off x="193915" y="31960298"/>
          <a:ext cx="444499" cy="345462"/>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63</xdr:row>
      <xdr:rowOff>0</xdr:rowOff>
    </xdr:from>
    <xdr:to>
      <xdr:col>2</xdr:col>
      <xdr:colOff>444499</xdr:colOff>
      <xdr:row>63</xdr:row>
      <xdr:rowOff>304801</xdr:rowOff>
    </xdr:to>
    <xdr:sp macro="" textlink="">
      <xdr:nvSpPr>
        <xdr:cNvPr id="5" name="AutoShape 28">
          <a:extLst>
            <a:ext uri="{FF2B5EF4-FFF2-40B4-BE49-F238E27FC236}">
              <a16:creationId xmlns:a16="http://schemas.microsoft.com/office/drawing/2014/main" id="{00000000-0008-0000-0000-000005000000}"/>
            </a:ext>
          </a:extLst>
        </xdr:cNvPr>
        <xdr:cNvSpPr>
          <a:spLocks noChangeArrowheads="1"/>
        </xdr:cNvSpPr>
      </xdr:nvSpPr>
      <xdr:spPr bwMode="auto">
        <a:xfrm>
          <a:off x="190500" y="26498550"/>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64</xdr:row>
      <xdr:rowOff>0</xdr:rowOff>
    </xdr:from>
    <xdr:to>
      <xdr:col>3</xdr:col>
      <xdr:colOff>-1</xdr:colOff>
      <xdr:row>64</xdr:row>
      <xdr:rowOff>304801</xdr:rowOff>
    </xdr:to>
    <xdr:sp macro="" textlink="">
      <xdr:nvSpPr>
        <xdr:cNvPr id="6" name="AutoShape 28">
          <a:extLst>
            <a:ext uri="{FF2B5EF4-FFF2-40B4-BE49-F238E27FC236}">
              <a16:creationId xmlns:a16="http://schemas.microsoft.com/office/drawing/2014/main" id="{00000000-0008-0000-0000-000006000000}"/>
            </a:ext>
          </a:extLst>
        </xdr:cNvPr>
        <xdr:cNvSpPr>
          <a:spLocks noChangeArrowheads="1"/>
        </xdr:cNvSpPr>
      </xdr:nvSpPr>
      <xdr:spPr bwMode="auto">
        <a:xfrm>
          <a:off x="190500" y="26879550"/>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8163</xdr:colOff>
      <xdr:row>65</xdr:row>
      <xdr:rowOff>9525</xdr:rowOff>
    </xdr:from>
    <xdr:to>
      <xdr:col>2</xdr:col>
      <xdr:colOff>464002</xdr:colOff>
      <xdr:row>65</xdr:row>
      <xdr:rowOff>314326</xdr:rowOff>
    </xdr:to>
    <xdr:sp macro="" textlink="">
      <xdr:nvSpPr>
        <xdr:cNvPr id="7" name="AutoShape 28">
          <a:extLst>
            <a:ext uri="{FF2B5EF4-FFF2-40B4-BE49-F238E27FC236}">
              <a16:creationId xmlns:a16="http://schemas.microsoft.com/office/drawing/2014/main" id="{00000000-0008-0000-0000-000007000000}"/>
            </a:ext>
          </a:extLst>
        </xdr:cNvPr>
        <xdr:cNvSpPr>
          <a:spLocks noChangeArrowheads="1"/>
        </xdr:cNvSpPr>
      </xdr:nvSpPr>
      <xdr:spPr bwMode="auto">
        <a:xfrm>
          <a:off x="198663" y="27270075"/>
          <a:ext cx="43678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8163</xdr:colOff>
      <xdr:row>66</xdr:row>
      <xdr:rowOff>0</xdr:rowOff>
    </xdr:from>
    <xdr:to>
      <xdr:col>2</xdr:col>
      <xdr:colOff>464002</xdr:colOff>
      <xdr:row>66</xdr:row>
      <xdr:rowOff>304801</xdr:rowOff>
    </xdr:to>
    <xdr:sp macro="" textlink="">
      <xdr:nvSpPr>
        <xdr:cNvPr id="8" name="AutoShape 28">
          <a:extLst>
            <a:ext uri="{FF2B5EF4-FFF2-40B4-BE49-F238E27FC236}">
              <a16:creationId xmlns:a16="http://schemas.microsoft.com/office/drawing/2014/main" id="{00000000-0008-0000-0000-000008000000}"/>
            </a:ext>
          </a:extLst>
        </xdr:cNvPr>
        <xdr:cNvSpPr>
          <a:spLocks noChangeArrowheads="1"/>
        </xdr:cNvSpPr>
      </xdr:nvSpPr>
      <xdr:spPr bwMode="auto">
        <a:xfrm>
          <a:off x="198663" y="27641550"/>
          <a:ext cx="43678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66</xdr:row>
      <xdr:rowOff>361950</xdr:rowOff>
    </xdr:from>
    <xdr:to>
      <xdr:col>3</xdr:col>
      <xdr:colOff>9524</xdr:colOff>
      <xdr:row>67</xdr:row>
      <xdr:rowOff>351066</xdr:rowOff>
    </xdr:to>
    <xdr:sp macro="" textlink="">
      <xdr:nvSpPr>
        <xdr:cNvPr id="9" name="AutoShape 28">
          <a:extLst>
            <a:ext uri="{FF2B5EF4-FFF2-40B4-BE49-F238E27FC236}">
              <a16:creationId xmlns:a16="http://schemas.microsoft.com/office/drawing/2014/main" id="{00000000-0008-0000-0000-000009000000}"/>
            </a:ext>
          </a:extLst>
        </xdr:cNvPr>
        <xdr:cNvSpPr>
          <a:spLocks noChangeArrowheads="1"/>
        </xdr:cNvSpPr>
      </xdr:nvSpPr>
      <xdr:spPr bwMode="auto">
        <a:xfrm>
          <a:off x="200025" y="28003500"/>
          <a:ext cx="444499" cy="370116"/>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68</xdr:row>
      <xdr:rowOff>0</xdr:rowOff>
    </xdr:from>
    <xdr:to>
      <xdr:col>3</xdr:col>
      <xdr:colOff>-1</xdr:colOff>
      <xdr:row>68</xdr:row>
      <xdr:rowOff>304801</xdr:rowOff>
    </xdr:to>
    <xdr:sp macro="" textlink="">
      <xdr:nvSpPr>
        <xdr:cNvPr id="10" name="AutoShape 28">
          <a:extLst>
            <a:ext uri="{FF2B5EF4-FFF2-40B4-BE49-F238E27FC236}">
              <a16:creationId xmlns:a16="http://schemas.microsoft.com/office/drawing/2014/main" id="{00000000-0008-0000-0000-00000A000000}"/>
            </a:ext>
          </a:extLst>
        </xdr:cNvPr>
        <xdr:cNvSpPr>
          <a:spLocks noChangeArrowheads="1"/>
        </xdr:cNvSpPr>
      </xdr:nvSpPr>
      <xdr:spPr bwMode="auto">
        <a:xfrm>
          <a:off x="190500" y="28403550"/>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10885</xdr:colOff>
      <xdr:row>69</xdr:row>
      <xdr:rowOff>0</xdr:rowOff>
    </xdr:from>
    <xdr:to>
      <xdr:col>3</xdr:col>
      <xdr:colOff>10884</xdr:colOff>
      <xdr:row>69</xdr:row>
      <xdr:rowOff>304801</xdr:rowOff>
    </xdr:to>
    <xdr:sp macro="" textlink="">
      <xdr:nvSpPr>
        <xdr:cNvPr id="11" name="AutoShape 28">
          <a:extLst>
            <a:ext uri="{FF2B5EF4-FFF2-40B4-BE49-F238E27FC236}">
              <a16:creationId xmlns:a16="http://schemas.microsoft.com/office/drawing/2014/main" id="{00000000-0008-0000-0000-00000B000000}"/>
            </a:ext>
          </a:extLst>
        </xdr:cNvPr>
        <xdr:cNvSpPr>
          <a:spLocks noChangeArrowheads="1"/>
        </xdr:cNvSpPr>
      </xdr:nvSpPr>
      <xdr:spPr bwMode="auto">
        <a:xfrm>
          <a:off x="201385" y="28784550"/>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10886</xdr:colOff>
      <xdr:row>70</xdr:row>
      <xdr:rowOff>0</xdr:rowOff>
    </xdr:from>
    <xdr:to>
      <xdr:col>3</xdr:col>
      <xdr:colOff>10885</xdr:colOff>
      <xdr:row>70</xdr:row>
      <xdr:rowOff>304801</xdr:rowOff>
    </xdr:to>
    <xdr:sp macro="" textlink="">
      <xdr:nvSpPr>
        <xdr:cNvPr id="12" name="AutoShape 28">
          <a:extLst>
            <a:ext uri="{FF2B5EF4-FFF2-40B4-BE49-F238E27FC236}">
              <a16:creationId xmlns:a16="http://schemas.microsoft.com/office/drawing/2014/main" id="{00000000-0008-0000-0000-00000C000000}"/>
            </a:ext>
          </a:extLst>
        </xdr:cNvPr>
        <xdr:cNvSpPr>
          <a:spLocks noChangeArrowheads="1"/>
        </xdr:cNvSpPr>
      </xdr:nvSpPr>
      <xdr:spPr bwMode="auto">
        <a:xfrm>
          <a:off x="201386" y="29165550"/>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10885</xdr:colOff>
      <xdr:row>71</xdr:row>
      <xdr:rowOff>1</xdr:rowOff>
    </xdr:from>
    <xdr:to>
      <xdr:col>3</xdr:col>
      <xdr:colOff>10884</xdr:colOff>
      <xdr:row>71</xdr:row>
      <xdr:rowOff>304802</xdr:rowOff>
    </xdr:to>
    <xdr:sp macro="" textlink="">
      <xdr:nvSpPr>
        <xdr:cNvPr id="13" name="AutoShape 28">
          <a:extLst>
            <a:ext uri="{FF2B5EF4-FFF2-40B4-BE49-F238E27FC236}">
              <a16:creationId xmlns:a16="http://schemas.microsoft.com/office/drawing/2014/main" id="{00000000-0008-0000-0000-00000D000000}"/>
            </a:ext>
          </a:extLst>
        </xdr:cNvPr>
        <xdr:cNvSpPr>
          <a:spLocks noChangeArrowheads="1"/>
        </xdr:cNvSpPr>
      </xdr:nvSpPr>
      <xdr:spPr bwMode="auto">
        <a:xfrm>
          <a:off x="201385" y="29546551"/>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21771</xdr:colOff>
      <xdr:row>72</xdr:row>
      <xdr:rowOff>0</xdr:rowOff>
    </xdr:from>
    <xdr:to>
      <xdr:col>3</xdr:col>
      <xdr:colOff>21770</xdr:colOff>
      <xdr:row>72</xdr:row>
      <xdr:rowOff>304801</xdr:rowOff>
    </xdr:to>
    <xdr:sp macro="" textlink="">
      <xdr:nvSpPr>
        <xdr:cNvPr id="14" name="AutoShape 28">
          <a:extLst>
            <a:ext uri="{FF2B5EF4-FFF2-40B4-BE49-F238E27FC236}">
              <a16:creationId xmlns:a16="http://schemas.microsoft.com/office/drawing/2014/main" id="{00000000-0008-0000-0000-00000E000000}"/>
            </a:ext>
          </a:extLst>
        </xdr:cNvPr>
        <xdr:cNvSpPr>
          <a:spLocks noChangeArrowheads="1"/>
        </xdr:cNvSpPr>
      </xdr:nvSpPr>
      <xdr:spPr bwMode="auto">
        <a:xfrm>
          <a:off x="212271" y="29927550"/>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21771</xdr:colOff>
      <xdr:row>73</xdr:row>
      <xdr:rowOff>-1</xdr:rowOff>
    </xdr:from>
    <xdr:to>
      <xdr:col>3</xdr:col>
      <xdr:colOff>21770</xdr:colOff>
      <xdr:row>73</xdr:row>
      <xdr:rowOff>304800</xdr:rowOff>
    </xdr:to>
    <xdr:sp macro="" textlink="">
      <xdr:nvSpPr>
        <xdr:cNvPr id="15" name="AutoShape 28">
          <a:extLst>
            <a:ext uri="{FF2B5EF4-FFF2-40B4-BE49-F238E27FC236}">
              <a16:creationId xmlns:a16="http://schemas.microsoft.com/office/drawing/2014/main" id="{00000000-0008-0000-0000-00000F000000}"/>
            </a:ext>
          </a:extLst>
        </xdr:cNvPr>
        <xdr:cNvSpPr>
          <a:spLocks noChangeArrowheads="1"/>
        </xdr:cNvSpPr>
      </xdr:nvSpPr>
      <xdr:spPr bwMode="auto">
        <a:xfrm>
          <a:off x="212271" y="30308549"/>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468085</xdr:colOff>
      <xdr:row>73</xdr:row>
      <xdr:rowOff>0</xdr:rowOff>
    </xdr:from>
    <xdr:to>
      <xdr:col>37</xdr:col>
      <xdr:colOff>10886</xdr:colOff>
      <xdr:row>73</xdr:row>
      <xdr:rowOff>293913</xdr:rowOff>
    </xdr:to>
    <xdr:sp macro="" textlink="">
      <xdr:nvSpPr>
        <xdr:cNvPr id="16" name="AutoShape 28">
          <a:extLst>
            <a:ext uri="{FF2B5EF4-FFF2-40B4-BE49-F238E27FC236}">
              <a16:creationId xmlns:a16="http://schemas.microsoft.com/office/drawing/2014/main" id="{00000000-0008-0000-0000-000010000000}"/>
            </a:ext>
          </a:extLst>
        </xdr:cNvPr>
        <xdr:cNvSpPr>
          <a:spLocks noChangeArrowheads="1"/>
        </xdr:cNvSpPr>
      </xdr:nvSpPr>
      <xdr:spPr bwMode="auto">
        <a:xfrm>
          <a:off x="3516085" y="30308550"/>
          <a:ext cx="10274301" cy="293913"/>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435429</xdr:colOff>
      <xdr:row>84</xdr:row>
      <xdr:rowOff>10886</xdr:rowOff>
    </xdr:from>
    <xdr:to>
      <xdr:col>37</xdr:col>
      <xdr:colOff>21775</xdr:colOff>
      <xdr:row>84</xdr:row>
      <xdr:rowOff>348343</xdr:rowOff>
    </xdr:to>
    <xdr:sp macro="" textlink="">
      <xdr:nvSpPr>
        <xdr:cNvPr id="17" name="AutoShape 28">
          <a:extLst>
            <a:ext uri="{FF2B5EF4-FFF2-40B4-BE49-F238E27FC236}">
              <a16:creationId xmlns:a16="http://schemas.microsoft.com/office/drawing/2014/main" id="{00000000-0008-0000-0000-000011000000}"/>
            </a:ext>
          </a:extLst>
        </xdr:cNvPr>
        <xdr:cNvSpPr>
          <a:spLocks noChangeArrowheads="1"/>
        </xdr:cNvSpPr>
      </xdr:nvSpPr>
      <xdr:spPr bwMode="auto">
        <a:xfrm>
          <a:off x="2276929" y="35628036"/>
          <a:ext cx="11524346" cy="33745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425824</xdr:colOff>
      <xdr:row>84</xdr:row>
      <xdr:rowOff>380357</xdr:rowOff>
    </xdr:from>
    <xdr:to>
      <xdr:col>37</xdr:col>
      <xdr:colOff>22413</xdr:colOff>
      <xdr:row>85</xdr:row>
      <xdr:rowOff>582705</xdr:rowOff>
    </xdr:to>
    <xdr:sp macro="" textlink="">
      <xdr:nvSpPr>
        <xdr:cNvPr id="18" name="AutoShape 28">
          <a:extLst>
            <a:ext uri="{FF2B5EF4-FFF2-40B4-BE49-F238E27FC236}">
              <a16:creationId xmlns:a16="http://schemas.microsoft.com/office/drawing/2014/main" id="{00000000-0008-0000-0000-000012000000}"/>
            </a:ext>
          </a:extLst>
        </xdr:cNvPr>
        <xdr:cNvSpPr>
          <a:spLocks noChangeArrowheads="1"/>
        </xdr:cNvSpPr>
      </xdr:nvSpPr>
      <xdr:spPr bwMode="auto">
        <a:xfrm>
          <a:off x="2267324" y="35997507"/>
          <a:ext cx="11534589" cy="583348"/>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457858</xdr:colOff>
      <xdr:row>87</xdr:row>
      <xdr:rowOff>35718</xdr:rowOff>
    </xdr:from>
    <xdr:to>
      <xdr:col>12</xdr:col>
      <xdr:colOff>33316</xdr:colOff>
      <xdr:row>87</xdr:row>
      <xdr:rowOff>380999</xdr:rowOff>
    </xdr:to>
    <xdr:sp macro="" textlink="">
      <xdr:nvSpPr>
        <xdr:cNvPr id="19" name="AutoShape 28">
          <a:extLst>
            <a:ext uri="{FF2B5EF4-FFF2-40B4-BE49-F238E27FC236}">
              <a16:creationId xmlns:a16="http://schemas.microsoft.com/office/drawing/2014/main" id="{00000000-0008-0000-0000-000013000000}"/>
            </a:ext>
          </a:extLst>
        </xdr:cNvPr>
        <xdr:cNvSpPr>
          <a:spLocks noChangeArrowheads="1"/>
        </xdr:cNvSpPr>
      </xdr:nvSpPr>
      <xdr:spPr bwMode="auto">
        <a:xfrm>
          <a:off x="2299358" y="36891118"/>
          <a:ext cx="2553608" cy="34528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294874</xdr:colOff>
      <xdr:row>87</xdr:row>
      <xdr:rowOff>369156</xdr:rowOff>
    </xdr:from>
    <xdr:to>
      <xdr:col>16</xdr:col>
      <xdr:colOff>33617</xdr:colOff>
      <xdr:row>88</xdr:row>
      <xdr:rowOff>440443</xdr:rowOff>
    </xdr:to>
    <xdr:sp macro="" textlink="">
      <xdr:nvSpPr>
        <xdr:cNvPr id="20" name="AutoShape 28">
          <a:extLst>
            <a:ext uri="{FF2B5EF4-FFF2-40B4-BE49-F238E27FC236}">
              <a16:creationId xmlns:a16="http://schemas.microsoft.com/office/drawing/2014/main" id="{00000000-0008-0000-0000-000014000000}"/>
            </a:ext>
          </a:extLst>
        </xdr:cNvPr>
        <xdr:cNvSpPr>
          <a:spLocks noChangeArrowheads="1"/>
        </xdr:cNvSpPr>
      </xdr:nvSpPr>
      <xdr:spPr bwMode="auto">
        <a:xfrm>
          <a:off x="3850874" y="37224556"/>
          <a:ext cx="2596243" cy="45228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326571</xdr:colOff>
      <xdr:row>88</xdr:row>
      <xdr:rowOff>0</xdr:rowOff>
    </xdr:from>
    <xdr:to>
      <xdr:col>32</xdr:col>
      <xdr:colOff>43542</xdr:colOff>
      <xdr:row>88</xdr:row>
      <xdr:rowOff>370111</xdr:rowOff>
    </xdr:to>
    <xdr:sp macro="" textlink="">
      <xdr:nvSpPr>
        <xdr:cNvPr id="21" name="AutoShape 28">
          <a:extLst>
            <a:ext uri="{FF2B5EF4-FFF2-40B4-BE49-F238E27FC236}">
              <a16:creationId xmlns:a16="http://schemas.microsoft.com/office/drawing/2014/main" id="{00000000-0008-0000-0000-000015000000}"/>
            </a:ext>
          </a:extLst>
        </xdr:cNvPr>
        <xdr:cNvSpPr>
          <a:spLocks noChangeArrowheads="1"/>
        </xdr:cNvSpPr>
      </xdr:nvSpPr>
      <xdr:spPr bwMode="auto">
        <a:xfrm>
          <a:off x="9286421" y="37236400"/>
          <a:ext cx="2968171" cy="3701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435429</xdr:colOff>
      <xdr:row>91</xdr:row>
      <xdr:rowOff>10886</xdr:rowOff>
    </xdr:from>
    <xdr:to>
      <xdr:col>37</xdr:col>
      <xdr:colOff>21775</xdr:colOff>
      <xdr:row>91</xdr:row>
      <xdr:rowOff>348343</xdr:rowOff>
    </xdr:to>
    <xdr:sp macro="" textlink="">
      <xdr:nvSpPr>
        <xdr:cNvPr id="22" name="AutoShape 28">
          <a:extLst>
            <a:ext uri="{FF2B5EF4-FFF2-40B4-BE49-F238E27FC236}">
              <a16:creationId xmlns:a16="http://schemas.microsoft.com/office/drawing/2014/main" id="{00000000-0008-0000-0000-000016000000}"/>
            </a:ext>
          </a:extLst>
        </xdr:cNvPr>
        <xdr:cNvSpPr>
          <a:spLocks noChangeArrowheads="1"/>
        </xdr:cNvSpPr>
      </xdr:nvSpPr>
      <xdr:spPr bwMode="auto">
        <a:xfrm>
          <a:off x="2276929" y="38193436"/>
          <a:ext cx="11524346" cy="33745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425823</xdr:colOff>
      <xdr:row>91</xdr:row>
      <xdr:rowOff>380357</xdr:rowOff>
    </xdr:from>
    <xdr:to>
      <xdr:col>37</xdr:col>
      <xdr:colOff>33618</xdr:colOff>
      <xdr:row>92</xdr:row>
      <xdr:rowOff>582706</xdr:rowOff>
    </xdr:to>
    <xdr:sp macro="" textlink="">
      <xdr:nvSpPr>
        <xdr:cNvPr id="23" name="AutoShape 28">
          <a:extLst>
            <a:ext uri="{FF2B5EF4-FFF2-40B4-BE49-F238E27FC236}">
              <a16:creationId xmlns:a16="http://schemas.microsoft.com/office/drawing/2014/main" id="{00000000-0008-0000-0000-000017000000}"/>
            </a:ext>
          </a:extLst>
        </xdr:cNvPr>
        <xdr:cNvSpPr>
          <a:spLocks noChangeArrowheads="1"/>
        </xdr:cNvSpPr>
      </xdr:nvSpPr>
      <xdr:spPr bwMode="auto">
        <a:xfrm>
          <a:off x="2267323" y="38562907"/>
          <a:ext cx="11545795" cy="583349"/>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446313</xdr:colOff>
      <xdr:row>94</xdr:row>
      <xdr:rowOff>1</xdr:rowOff>
    </xdr:from>
    <xdr:to>
      <xdr:col>12</xdr:col>
      <xdr:colOff>21771</xdr:colOff>
      <xdr:row>95</xdr:row>
      <xdr:rowOff>0</xdr:rowOff>
    </xdr:to>
    <xdr:sp macro="" textlink="">
      <xdr:nvSpPr>
        <xdr:cNvPr id="24" name="AutoShape 28">
          <a:extLst>
            <a:ext uri="{FF2B5EF4-FFF2-40B4-BE49-F238E27FC236}">
              <a16:creationId xmlns:a16="http://schemas.microsoft.com/office/drawing/2014/main" id="{00000000-0008-0000-0000-000018000000}"/>
            </a:ext>
          </a:extLst>
        </xdr:cNvPr>
        <xdr:cNvSpPr>
          <a:spLocks noChangeArrowheads="1"/>
        </xdr:cNvSpPr>
      </xdr:nvSpPr>
      <xdr:spPr bwMode="auto">
        <a:xfrm>
          <a:off x="2287813" y="39420801"/>
          <a:ext cx="2553608" cy="387349"/>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261257</xdr:colOff>
      <xdr:row>95</xdr:row>
      <xdr:rowOff>21774</xdr:rowOff>
    </xdr:from>
    <xdr:to>
      <xdr:col>16</xdr:col>
      <xdr:colOff>0</xdr:colOff>
      <xdr:row>96</xdr:row>
      <xdr:rowOff>10885</xdr:rowOff>
    </xdr:to>
    <xdr:sp macro="" textlink="">
      <xdr:nvSpPr>
        <xdr:cNvPr id="25" name="AutoShape 28">
          <a:extLst>
            <a:ext uri="{FF2B5EF4-FFF2-40B4-BE49-F238E27FC236}">
              <a16:creationId xmlns:a16="http://schemas.microsoft.com/office/drawing/2014/main" id="{00000000-0008-0000-0000-000019000000}"/>
            </a:ext>
          </a:extLst>
        </xdr:cNvPr>
        <xdr:cNvSpPr>
          <a:spLocks noChangeArrowheads="1"/>
        </xdr:cNvSpPr>
      </xdr:nvSpPr>
      <xdr:spPr bwMode="auto">
        <a:xfrm>
          <a:off x="3829957" y="39829924"/>
          <a:ext cx="2583543" cy="4463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326571</xdr:colOff>
      <xdr:row>95</xdr:row>
      <xdr:rowOff>0</xdr:rowOff>
    </xdr:from>
    <xdr:to>
      <xdr:col>32</xdr:col>
      <xdr:colOff>43542</xdr:colOff>
      <xdr:row>95</xdr:row>
      <xdr:rowOff>370111</xdr:rowOff>
    </xdr:to>
    <xdr:sp macro="" textlink="">
      <xdr:nvSpPr>
        <xdr:cNvPr id="26" name="AutoShape 28">
          <a:extLst>
            <a:ext uri="{FF2B5EF4-FFF2-40B4-BE49-F238E27FC236}">
              <a16:creationId xmlns:a16="http://schemas.microsoft.com/office/drawing/2014/main" id="{00000000-0008-0000-0000-00001A000000}"/>
            </a:ext>
          </a:extLst>
        </xdr:cNvPr>
        <xdr:cNvSpPr>
          <a:spLocks noChangeArrowheads="1"/>
        </xdr:cNvSpPr>
      </xdr:nvSpPr>
      <xdr:spPr bwMode="auto">
        <a:xfrm>
          <a:off x="9286421" y="39808150"/>
          <a:ext cx="2968171" cy="3701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435429</xdr:colOff>
      <xdr:row>98</xdr:row>
      <xdr:rowOff>10886</xdr:rowOff>
    </xdr:from>
    <xdr:to>
      <xdr:col>37</xdr:col>
      <xdr:colOff>21775</xdr:colOff>
      <xdr:row>98</xdr:row>
      <xdr:rowOff>348343</xdr:rowOff>
    </xdr:to>
    <xdr:sp macro="" textlink="">
      <xdr:nvSpPr>
        <xdr:cNvPr id="27" name="AutoShape 28">
          <a:extLst>
            <a:ext uri="{FF2B5EF4-FFF2-40B4-BE49-F238E27FC236}">
              <a16:creationId xmlns:a16="http://schemas.microsoft.com/office/drawing/2014/main" id="{00000000-0008-0000-0000-00001B000000}"/>
            </a:ext>
          </a:extLst>
        </xdr:cNvPr>
        <xdr:cNvSpPr>
          <a:spLocks noChangeArrowheads="1"/>
        </xdr:cNvSpPr>
      </xdr:nvSpPr>
      <xdr:spPr bwMode="auto">
        <a:xfrm>
          <a:off x="2276929" y="40758836"/>
          <a:ext cx="11524346" cy="33745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425823</xdr:colOff>
      <xdr:row>99</xdr:row>
      <xdr:rowOff>21769</xdr:rowOff>
    </xdr:from>
    <xdr:to>
      <xdr:col>37</xdr:col>
      <xdr:colOff>32658</xdr:colOff>
      <xdr:row>99</xdr:row>
      <xdr:rowOff>582706</xdr:rowOff>
    </xdr:to>
    <xdr:sp macro="" textlink="">
      <xdr:nvSpPr>
        <xdr:cNvPr id="28" name="AutoShape 28">
          <a:extLst>
            <a:ext uri="{FF2B5EF4-FFF2-40B4-BE49-F238E27FC236}">
              <a16:creationId xmlns:a16="http://schemas.microsoft.com/office/drawing/2014/main" id="{00000000-0008-0000-0000-00001C000000}"/>
            </a:ext>
          </a:extLst>
        </xdr:cNvPr>
        <xdr:cNvSpPr>
          <a:spLocks noChangeArrowheads="1"/>
        </xdr:cNvSpPr>
      </xdr:nvSpPr>
      <xdr:spPr bwMode="auto">
        <a:xfrm>
          <a:off x="2267323" y="41150719"/>
          <a:ext cx="11544835" cy="56093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446313</xdr:colOff>
      <xdr:row>101</xdr:row>
      <xdr:rowOff>1</xdr:rowOff>
    </xdr:from>
    <xdr:to>
      <xdr:col>12</xdr:col>
      <xdr:colOff>21771</xdr:colOff>
      <xdr:row>102</xdr:row>
      <xdr:rowOff>0</xdr:rowOff>
    </xdr:to>
    <xdr:sp macro="" textlink="">
      <xdr:nvSpPr>
        <xdr:cNvPr id="29" name="AutoShape 28">
          <a:extLst>
            <a:ext uri="{FF2B5EF4-FFF2-40B4-BE49-F238E27FC236}">
              <a16:creationId xmlns:a16="http://schemas.microsoft.com/office/drawing/2014/main" id="{00000000-0008-0000-0000-00001D000000}"/>
            </a:ext>
          </a:extLst>
        </xdr:cNvPr>
        <xdr:cNvSpPr>
          <a:spLocks noChangeArrowheads="1"/>
        </xdr:cNvSpPr>
      </xdr:nvSpPr>
      <xdr:spPr bwMode="auto">
        <a:xfrm>
          <a:off x="2287813" y="41986201"/>
          <a:ext cx="2553608" cy="380999"/>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261257</xdr:colOff>
      <xdr:row>102</xdr:row>
      <xdr:rowOff>21774</xdr:rowOff>
    </xdr:from>
    <xdr:to>
      <xdr:col>16</xdr:col>
      <xdr:colOff>0</xdr:colOff>
      <xdr:row>103</xdr:row>
      <xdr:rowOff>10885</xdr:rowOff>
    </xdr:to>
    <xdr:sp macro="" textlink="">
      <xdr:nvSpPr>
        <xdr:cNvPr id="30" name="AutoShape 28">
          <a:extLst>
            <a:ext uri="{FF2B5EF4-FFF2-40B4-BE49-F238E27FC236}">
              <a16:creationId xmlns:a16="http://schemas.microsoft.com/office/drawing/2014/main" id="{00000000-0008-0000-0000-00001E000000}"/>
            </a:ext>
          </a:extLst>
        </xdr:cNvPr>
        <xdr:cNvSpPr>
          <a:spLocks noChangeArrowheads="1"/>
        </xdr:cNvSpPr>
      </xdr:nvSpPr>
      <xdr:spPr bwMode="auto">
        <a:xfrm>
          <a:off x="3829957" y="42388974"/>
          <a:ext cx="2583543" cy="4463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326571</xdr:colOff>
      <xdr:row>102</xdr:row>
      <xdr:rowOff>0</xdr:rowOff>
    </xdr:from>
    <xdr:to>
      <xdr:col>32</xdr:col>
      <xdr:colOff>43542</xdr:colOff>
      <xdr:row>102</xdr:row>
      <xdr:rowOff>370111</xdr:rowOff>
    </xdr:to>
    <xdr:sp macro="" textlink="">
      <xdr:nvSpPr>
        <xdr:cNvPr id="31" name="AutoShape 28">
          <a:extLst>
            <a:ext uri="{FF2B5EF4-FFF2-40B4-BE49-F238E27FC236}">
              <a16:creationId xmlns:a16="http://schemas.microsoft.com/office/drawing/2014/main" id="{00000000-0008-0000-0000-00001F000000}"/>
            </a:ext>
          </a:extLst>
        </xdr:cNvPr>
        <xdr:cNvSpPr>
          <a:spLocks noChangeArrowheads="1"/>
        </xdr:cNvSpPr>
      </xdr:nvSpPr>
      <xdr:spPr bwMode="auto">
        <a:xfrm>
          <a:off x="9286421" y="42367200"/>
          <a:ext cx="2968171" cy="3701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124</xdr:row>
      <xdr:rowOff>21771</xdr:rowOff>
    </xdr:from>
    <xdr:to>
      <xdr:col>3</xdr:col>
      <xdr:colOff>-1</xdr:colOff>
      <xdr:row>124</xdr:row>
      <xdr:rowOff>326572</xdr:rowOff>
    </xdr:to>
    <xdr:sp macro="" textlink="">
      <xdr:nvSpPr>
        <xdr:cNvPr id="32" name="AutoShape 28">
          <a:extLst>
            <a:ext uri="{FF2B5EF4-FFF2-40B4-BE49-F238E27FC236}">
              <a16:creationId xmlns:a16="http://schemas.microsoft.com/office/drawing/2014/main" id="{00000000-0008-0000-0000-000020000000}"/>
            </a:ext>
          </a:extLst>
        </xdr:cNvPr>
        <xdr:cNvSpPr>
          <a:spLocks noChangeArrowheads="1"/>
        </xdr:cNvSpPr>
      </xdr:nvSpPr>
      <xdr:spPr bwMode="auto">
        <a:xfrm>
          <a:off x="190500" y="51031321"/>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19049</xdr:colOff>
      <xdr:row>124</xdr:row>
      <xdr:rowOff>378280</xdr:rowOff>
    </xdr:from>
    <xdr:to>
      <xdr:col>2</xdr:col>
      <xdr:colOff>476248</xdr:colOff>
      <xdr:row>125</xdr:row>
      <xdr:rowOff>302081</xdr:rowOff>
    </xdr:to>
    <xdr:sp macro="" textlink="">
      <xdr:nvSpPr>
        <xdr:cNvPr id="33" name="AutoShape 28">
          <a:extLst>
            <a:ext uri="{FF2B5EF4-FFF2-40B4-BE49-F238E27FC236}">
              <a16:creationId xmlns:a16="http://schemas.microsoft.com/office/drawing/2014/main" id="{00000000-0008-0000-0000-000021000000}"/>
            </a:ext>
          </a:extLst>
        </xdr:cNvPr>
        <xdr:cNvSpPr>
          <a:spLocks noChangeArrowheads="1"/>
        </xdr:cNvSpPr>
      </xdr:nvSpPr>
      <xdr:spPr bwMode="auto">
        <a:xfrm>
          <a:off x="209549" y="51387830"/>
          <a:ext cx="42544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10886</xdr:colOff>
      <xdr:row>126</xdr:row>
      <xdr:rowOff>10885</xdr:rowOff>
    </xdr:from>
    <xdr:to>
      <xdr:col>3</xdr:col>
      <xdr:colOff>10885</xdr:colOff>
      <xdr:row>126</xdr:row>
      <xdr:rowOff>315686</xdr:rowOff>
    </xdr:to>
    <xdr:sp macro="" textlink="">
      <xdr:nvSpPr>
        <xdr:cNvPr id="34" name="AutoShape 28">
          <a:extLst>
            <a:ext uri="{FF2B5EF4-FFF2-40B4-BE49-F238E27FC236}">
              <a16:creationId xmlns:a16="http://schemas.microsoft.com/office/drawing/2014/main" id="{00000000-0008-0000-0000-000022000000}"/>
            </a:ext>
          </a:extLst>
        </xdr:cNvPr>
        <xdr:cNvSpPr>
          <a:spLocks noChangeArrowheads="1"/>
        </xdr:cNvSpPr>
      </xdr:nvSpPr>
      <xdr:spPr bwMode="auto">
        <a:xfrm>
          <a:off x="201386" y="51782435"/>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19049</xdr:colOff>
      <xdr:row>127</xdr:row>
      <xdr:rowOff>10885</xdr:rowOff>
    </xdr:from>
    <xdr:to>
      <xdr:col>2</xdr:col>
      <xdr:colOff>476248</xdr:colOff>
      <xdr:row>127</xdr:row>
      <xdr:rowOff>315686</xdr:rowOff>
    </xdr:to>
    <xdr:sp macro="" textlink="">
      <xdr:nvSpPr>
        <xdr:cNvPr id="35" name="AutoShape 28">
          <a:extLst>
            <a:ext uri="{FF2B5EF4-FFF2-40B4-BE49-F238E27FC236}">
              <a16:creationId xmlns:a16="http://schemas.microsoft.com/office/drawing/2014/main" id="{00000000-0008-0000-0000-000023000000}"/>
            </a:ext>
          </a:extLst>
        </xdr:cNvPr>
        <xdr:cNvSpPr>
          <a:spLocks noChangeArrowheads="1"/>
        </xdr:cNvSpPr>
      </xdr:nvSpPr>
      <xdr:spPr bwMode="auto">
        <a:xfrm>
          <a:off x="209549" y="52163435"/>
          <a:ext cx="42544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10885</xdr:colOff>
      <xdr:row>128</xdr:row>
      <xdr:rowOff>10885</xdr:rowOff>
    </xdr:from>
    <xdr:to>
      <xdr:col>3</xdr:col>
      <xdr:colOff>10884</xdr:colOff>
      <xdr:row>128</xdr:row>
      <xdr:rowOff>315686</xdr:rowOff>
    </xdr:to>
    <xdr:sp macro="" textlink="">
      <xdr:nvSpPr>
        <xdr:cNvPr id="36" name="AutoShape 28">
          <a:extLst>
            <a:ext uri="{FF2B5EF4-FFF2-40B4-BE49-F238E27FC236}">
              <a16:creationId xmlns:a16="http://schemas.microsoft.com/office/drawing/2014/main" id="{00000000-0008-0000-0000-000024000000}"/>
            </a:ext>
          </a:extLst>
        </xdr:cNvPr>
        <xdr:cNvSpPr>
          <a:spLocks noChangeArrowheads="1"/>
        </xdr:cNvSpPr>
      </xdr:nvSpPr>
      <xdr:spPr bwMode="auto">
        <a:xfrm>
          <a:off x="201385" y="52544435"/>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10885</xdr:colOff>
      <xdr:row>129</xdr:row>
      <xdr:rowOff>0</xdr:rowOff>
    </xdr:from>
    <xdr:to>
      <xdr:col>3</xdr:col>
      <xdr:colOff>10884</xdr:colOff>
      <xdr:row>129</xdr:row>
      <xdr:rowOff>304801</xdr:rowOff>
    </xdr:to>
    <xdr:sp macro="" textlink="">
      <xdr:nvSpPr>
        <xdr:cNvPr id="37" name="AutoShape 28">
          <a:extLst>
            <a:ext uri="{FF2B5EF4-FFF2-40B4-BE49-F238E27FC236}">
              <a16:creationId xmlns:a16="http://schemas.microsoft.com/office/drawing/2014/main" id="{00000000-0008-0000-0000-000025000000}"/>
            </a:ext>
          </a:extLst>
        </xdr:cNvPr>
        <xdr:cNvSpPr>
          <a:spLocks noChangeArrowheads="1"/>
        </xdr:cNvSpPr>
      </xdr:nvSpPr>
      <xdr:spPr bwMode="auto">
        <a:xfrm>
          <a:off x="201385" y="52914550"/>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10886</xdr:colOff>
      <xdr:row>130</xdr:row>
      <xdr:rowOff>10885</xdr:rowOff>
    </xdr:from>
    <xdr:to>
      <xdr:col>3</xdr:col>
      <xdr:colOff>10885</xdr:colOff>
      <xdr:row>130</xdr:row>
      <xdr:rowOff>315686</xdr:rowOff>
    </xdr:to>
    <xdr:sp macro="" textlink="">
      <xdr:nvSpPr>
        <xdr:cNvPr id="38" name="AutoShape 28">
          <a:extLst>
            <a:ext uri="{FF2B5EF4-FFF2-40B4-BE49-F238E27FC236}">
              <a16:creationId xmlns:a16="http://schemas.microsoft.com/office/drawing/2014/main" id="{00000000-0008-0000-0000-000026000000}"/>
            </a:ext>
          </a:extLst>
        </xdr:cNvPr>
        <xdr:cNvSpPr>
          <a:spLocks noChangeArrowheads="1"/>
        </xdr:cNvSpPr>
      </xdr:nvSpPr>
      <xdr:spPr bwMode="auto">
        <a:xfrm>
          <a:off x="201386" y="53306435"/>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10886</xdr:colOff>
      <xdr:row>131</xdr:row>
      <xdr:rowOff>10885</xdr:rowOff>
    </xdr:from>
    <xdr:to>
      <xdr:col>3</xdr:col>
      <xdr:colOff>10885</xdr:colOff>
      <xdr:row>131</xdr:row>
      <xdr:rowOff>315686</xdr:rowOff>
    </xdr:to>
    <xdr:sp macro="" textlink="">
      <xdr:nvSpPr>
        <xdr:cNvPr id="39" name="AutoShape 28">
          <a:extLst>
            <a:ext uri="{FF2B5EF4-FFF2-40B4-BE49-F238E27FC236}">
              <a16:creationId xmlns:a16="http://schemas.microsoft.com/office/drawing/2014/main" id="{00000000-0008-0000-0000-000027000000}"/>
            </a:ext>
          </a:extLst>
        </xdr:cNvPr>
        <xdr:cNvSpPr>
          <a:spLocks noChangeArrowheads="1"/>
        </xdr:cNvSpPr>
      </xdr:nvSpPr>
      <xdr:spPr bwMode="auto">
        <a:xfrm>
          <a:off x="201386" y="53687435"/>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359229</xdr:colOff>
      <xdr:row>132</xdr:row>
      <xdr:rowOff>152401</xdr:rowOff>
    </xdr:from>
    <xdr:to>
      <xdr:col>37</xdr:col>
      <xdr:colOff>65314</xdr:colOff>
      <xdr:row>135</xdr:row>
      <xdr:rowOff>108858</xdr:rowOff>
    </xdr:to>
    <xdr:sp macro="" textlink="">
      <xdr:nvSpPr>
        <xdr:cNvPr id="40" name="AutoShape 28">
          <a:extLst>
            <a:ext uri="{FF2B5EF4-FFF2-40B4-BE49-F238E27FC236}">
              <a16:creationId xmlns:a16="http://schemas.microsoft.com/office/drawing/2014/main" id="{00000000-0008-0000-0000-000028000000}"/>
            </a:ext>
          </a:extLst>
        </xdr:cNvPr>
        <xdr:cNvSpPr>
          <a:spLocks noChangeArrowheads="1"/>
        </xdr:cNvSpPr>
      </xdr:nvSpPr>
      <xdr:spPr bwMode="auto">
        <a:xfrm>
          <a:off x="549729" y="54209951"/>
          <a:ext cx="13295085" cy="88355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xdr:colOff>
      <xdr:row>137</xdr:row>
      <xdr:rowOff>658092</xdr:rowOff>
    </xdr:from>
    <xdr:to>
      <xdr:col>3</xdr:col>
      <xdr:colOff>0</xdr:colOff>
      <xdr:row>138</xdr:row>
      <xdr:rowOff>293256</xdr:rowOff>
    </xdr:to>
    <xdr:sp macro="" textlink="">
      <xdr:nvSpPr>
        <xdr:cNvPr id="41" name="AutoShape 28">
          <a:extLst>
            <a:ext uri="{FF2B5EF4-FFF2-40B4-BE49-F238E27FC236}">
              <a16:creationId xmlns:a16="http://schemas.microsoft.com/office/drawing/2014/main" id="{00000000-0008-0000-0000-000029000000}"/>
            </a:ext>
          </a:extLst>
        </xdr:cNvPr>
        <xdr:cNvSpPr>
          <a:spLocks noChangeArrowheads="1"/>
        </xdr:cNvSpPr>
      </xdr:nvSpPr>
      <xdr:spPr bwMode="auto">
        <a:xfrm>
          <a:off x="190501" y="56195192"/>
          <a:ext cx="444499" cy="301914"/>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2</xdr:colOff>
      <xdr:row>139</xdr:row>
      <xdr:rowOff>0</xdr:rowOff>
    </xdr:from>
    <xdr:to>
      <xdr:col>3</xdr:col>
      <xdr:colOff>1</xdr:colOff>
      <xdr:row>139</xdr:row>
      <xdr:rowOff>304801</xdr:rowOff>
    </xdr:to>
    <xdr:sp macro="" textlink="">
      <xdr:nvSpPr>
        <xdr:cNvPr id="42" name="AutoShape 28">
          <a:extLst>
            <a:ext uri="{FF2B5EF4-FFF2-40B4-BE49-F238E27FC236}">
              <a16:creationId xmlns:a16="http://schemas.microsoft.com/office/drawing/2014/main" id="{00000000-0008-0000-0000-00002A000000}"/>
            </a:ext>
          </a:extLst>
        </xdr:cNvPr>
        <xdr:cNvSpPr>
          <a:spLocks noChangeArrowheads="1"/>
        </xdr:cNvSpPr>
      </xdr:nvSpPr>
      <xdr:spPr bwMode="auto">
        <a:xfrm>
          <a:off x="190502" y="56584850"/>
          <a:ext cx="44449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25852</xdr:colOff>
      <xdr:row>140</xdr:row>
      <xdr:rowOff>31297</xdr:rowOff>
    </xdr:from>
    <xdr:to>
      <xdr:col>2</xdr:col>
      <xdr:colOff>481691</xdr:colOff>
      <xdr:row>140</xdr:row>
      <xdr:rowOff>336098</xdr:rowOff>
    </xdr:to>
    <xdr:sp macro="" textlink="">
      <xdr:nvSpPr>
        <xdr:cNvPr id="43" name="AutoShape 28">
          <a:extLst>
            <a:ext uri="{FF2B5EF4-FFF2-40B4-BE49-F238E27FC236}">
              <a16:creationId xmlns:a16="http://schemas.microsoft.com/office/drawing/2014/main" id="{00000000-0008-0000-0000-00002B000000}"/>
            </a:ext>
          </a:extLst>
        </xdr:cNvPr>
        <xdr:cNvSpPr>
          <a:spLocks noChangeArrowheads="1"/>
        </xdr:cNvSpPr>
      </xdr:nvSpPr>
      <xdr:spPr bwMode="auto">
        <a:xfrm>
          <a:off x="216352" y="56997147"/>
          <a:ext cx="417739" cy="30480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ja-JP" altLang="en-US"/>
        </a:p>
      </xdr:txBody>
    </xdr:sp>
    <xdr:clientData/>
  </xdr:twoCellAnchor>
  <xdr:twoCellAnchor>
    <xdr:from>
      <xdr:col>2</xdr:col>
      <xdr:colOff>381000</xdr:colOff>
      <xdr:row>143</xdr:row>
      <xdr:rowOff>0</xdr:rowOff>
    </xdr:from>
    <xdr:to>
      <xdr:col>37</xdr:col>
      <xdr:colOff>76198</xdr:colOff>
      <xdr:row>146</xdr:row>
      <xdr:rowOff>10885</xdr:rowOff>
    </xdr:to>
    <xdr:sp macro="" textlink="">
      <xdr:nvSpPr>
        <xdr:cNvPr id="44" name="AutoShape 28">
          <a:extLst>
            <a:ext uri="{FF2B5EF4-FFF2-40B4-BE49-F238E27FC236}">
              <a16:creationId xmlns:a16="http://schemas.microsoft.com/office/drawing/2014/main" id="{00000000-0008-0000-0000-00002C000000}"/>
            </a:ext>
          </a:extLst>
        </xdr:cNvPr>
        <xdr:cNvSpPr>
          <a:spLocks noChangeArrowheads="1"/>
        </xdr:cNvSpPr>
      </xdr:nvSpPr>
      <xdr:spPr bwMode="auto">
        <a:xfrm>
          <a:off x="571500" y="58464450"/>
          <a:ext cx="13284198" cy="664935"/>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162</xdr:row>
      <xdr:rowOff>330200</xdr:rowOff>
    </xdr:from>
    <xdr:to>
      <xdr:col>3</xdr:col>
      <xdr:colOff>9861</xdr:colOff>
      <xdr:row>165</xdr:row>
      <xdr:rowOff>0</xdr:rowOff>
    </xdr:to>
    <xdr:sp macro="" textlink="">
      <xdr:nvSpPr>
        <xdr:cNvPr id="45" name="AutoShape 28">
          <a:extLst>
            <a:ext uri="{FF2B5EF4-FFF2-40B4-BE49-F238E27FC236}">
              <a16:creationId xmlns:a16="http://schemas.microsoft.com/office/drawing/2014/main" id="{00000000-0008-0000-0000-00002D000000}"/>
            </a:ext>
          </a:extLst>
        </xdr:cNvPr>
        <xdr:cNvSpPr>
          <a:spLocks noChangeArrowheads="1"/>
        </xdr:cNvSpPr>
      </xdr:nvSpPr>
      <xdr:spPr bwMode="auto">
        <a:xfrm>
          <a:off x="190500" y="64173100"/>
          <a:ext cx="454361" cy="774700"/>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10886</xdr:colOff>
      <xdr:row>150</xdr:row>
      <xdr:rowOff>0</xdr:rowOff>
    </xdr:from>
    <xdr:to>
      <xdr:col>3</xdr:col>
      <xdr:colOff>10885</xdr:colOff>
      <xdr:row>152</xdr:row>
      <xdr:rowOff>21771</xdr:rowOff>
    </xdr:to>
    <xdr:sp macro="" textlink="">
      <xdr:nvSpPr>
        <xdr:cNvPr id="46" name="AutoShape 28">
          <a:extLst>
            <a:ext uri="{FF2B5EF4-FFF2-40B4-BE49-F238E27FC236}">
              <a16:creationId xmlns:a16="http://schemas.microsoft.com/office/drawing/2014/main" id="{00000000-0008-0000-0000-00002E000000}"/>
            </a:ext>
          </a:extLst>
        </xdr:cNvPr>
        <xdr:cNvSpPr>
          <a:spLocks noChangeArrowheads="1"/>
        </xdr:cNvSpPr>
      </xdr:nvSpPr>
      <xdr:spPr bwMode="auto">
        <a:xfrm>
          <a:off x="201386" y="60191650"/>
          <a:ext cx="444499" cy="78377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ja-JP" altLang="en-US"/>
        </a:p>
      </xdr:txBody>
    </xdr:sp>
    <xdr:clientData/>
  </xdr:twoCellAnchor>
  <xdr:twoCellAnchor>
    <xdr:from>
      <xdr:col>2</xdr:col>
      <xdr:colOff>370115</xdr:colOff>
      <xdr:row>153</xdr:row>
      <xdr:rowOff>446315</xdr:rowOff>
    </xdr:from>
    <xdr:to>
      <xdr:col>37</xdr:col>
      <xdr:colOff>65313</xdr:colOff>
      <xdr:row>157</xdr:row>
      <xdr:rowOff>0</xdr:rowOff>
    </xdr:to>
    <xdr:sp macro="" textlink="">
      <xdr:nvSpPr>
        <xdr:cNvPr id="47" name="AutoShape 28">
          <a:extLst>
            <a:ext uri="{FF2B5EF4-FFF2-40B4-BE49-F238E27FC236}">
              <a16:creationId xmlns:a16="http://schemas.microsoft.com/office/drawing/2014/main" id="{00000000-0008-0000-0000-00002F000000}"/>
            </a:ext>
          </a:extLst>
        </xdr:cNvPr>
        <xdr:cNvSpPr>
          <a:spLocks noChangeArrowheads="1"/>
        </xdr:cNvSpPr>
      </xdr:nvSpPr>
      <xdr:spPr bwMode="auto">
        <a:xfrm>
          <a:off x="560615" y="61793665"/>
          <a:ext cx="13284198" cy="753835"/>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435429</xdr:colOff>
      <xdr:row>91</xdr:row>
      <xdr:rowOff>10886</xdr:rowOff>
    </xdr:from>
    <xdr:to>
      <xdr:col>37</xdr:col>
      <xdr:colOff>21775</xdr:colOff>
      <xdr:row>91</xdr:row>
      <xdr:rowOff>348343</xdr:rowOff>
    </xdr:to>
    <xdr:sp macro="" textlink="">
      <xdr:nvSpPr>
        <xdr:cNvPr id="48" name="AutoShape 28">
          <a:extLst>
            <a:ext uri="{FF2B5EF4-FFF2-40B4-BE49-F238E27FC236}">
              <a16:creationId xmlns:a16="http://schemas.microsoft.com/office/drawing/2014/main" id="{00000000-0008-0000-0000-000030000000}"/>
            </a:ext>
          </a:extLst>
        </xdr:cNvPr>
        <xdr:cNvSpPr>
          <a:spLocks noChangeArrowheads="1"/>
        </xdr:cNvSpPr>
      </xdr:nvSpPr>
      <xdr:spPr bwMode="auto">
        <a:xfrm>
          <a:off x="2276929" y="38193436"/>
          <a:ext cx="11524346" cy="33745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446313</xdr:colOff>
      <xdr:row>94</xdr:row>
      <xdr:rowOff>1</xdr:rowOff>
    </xdr:from>
    <xdr:to>
      <xdr:col>12</xdr:col>
      <xdr:colOff>21771</xdr:colOff>
      <xdr:row>95</xdr:row>
      <xdr:rowOff>0</xdr:rowOff>
    </xdr:to>
    <xdr:sp macro="" textlink="">
      <xdr:nvSpPr>
        <xdr:cNvPr id="49" name="AutoShape 28">
          <a:extLst>
            <a:ext uri="{FF2B5EF4-FFF2-40B4-BE49-F238E27FC236}">
              <a16:creationId xmlns:a16="http://schemas.microsoft.com/office/drawing/2014/main" id="{00000000-0008-0000-0000-000031000000}"/>
            </a:ext>
          </a:extLst>
        </xdr:cNvPr>
        <xdr:cNvSpPr>
          <a:spLocks noChangeArrowheads="1"/>
        </xdr:cNvSpPr>
      </xdr:nvSpPr>
      <xdr:spPr bwMode="auto">
        <a:xfrm>
          <a:off x="2287813" y="39420801"/>
          <a:ext cx="2553608" cy="387349"/>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261257</xdr:colOff>
      <xdr:row>95</xdr:row>
      <xdr:rowOff>21774</xdr:rowOff>
    </xdr:from>
    <xdr:to>
      <xdr:col>16</xdr:col>
      <xdr:colOff>0</xdr:colOff>
      <xdr:row>96</xdr:row>
      <xdr:rowOff>10885</xdr:rowOff>
    </xdr:to>
    <xdr:sp macro="" textlink="">
      <xdr:nvSpPr>
        <xdr:cNvPr id="50" name="AutoShape 28">
          <a:extLst>
            <a:ext uri="{FF2B5EF4-FFF2-40B4-BE49-F238E27FC236}">
              <a16:creationId xmlns:a16="http://schemas.microsoft.com/office/drawing/2014/main" id="{00000000-0008-0000-0000-000032000000}"/>
            </a:ext>
          </a:extLst>
        </xdr:cNvPr>
        <xdr:cNvSpPr>
          <a:spLocks noChangeArrowheads="1"/>
        </xdr:cNvSpPr>
      </xdr:nvSpPr>
      <xdr:spPr bwMode="auto">
        <a:xfrm>
          <a:off x="3829957" y="39829924"/>
          <a:ext cx="2583543" cy="4463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326571</xdr:colOff>
      <xdr:row>95</xdr:row>
      <xdr:rowOff>0</xdr:rowOff>
    </xdr:from>
    <xdr:to>
      <xdr:col>32</xdr:col>
      <xdr:colOff>43542</xdr:colOff>
      <xdr:row>95</xdr:row>
      <xdr:rowOff>370111</xdr:rowOff>
    </xdr:to>
    <xdr:sp macro="" textlink="">
      <xdr:nvSpPr>
        <xdr:cNvPr id="51" name="AutoShape 28">
          <a:extLst>
            <a:ext uri="{FF2B5EF4-FFF2-40B4-BE49-F238E27FC236}">
              <a16:creationId xmlns:a16="http://schemas.microsoft.com/office/drawing/2014/main" id="{00000000-0008-0000-0000-000033000000}"/>
            </a:ext>
          </a:extLst>
        </xdr:cNvPr>
        <xdr:cNvSpPr>
          <a:spLocks noChangeArrowheads="1"/>
        </xdr:cNvSpPr>
      </xdr:nvSpPr>
      <xdr:spPr bwMode="auto">
        <a:xfrm>
          <a:off x="9286421" y="39808150"/>
          <a:ext cx="2968171" cy="3701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435429</xdr:colOff>
      <xdr:row>98</xdr:row>
      <xdr:rowOff>10886</xdr:rowOff>
    </xdr:from>
    <xdr:to>
      <xdr:col>37</xdr:col>
      <xdr:colOff>21775</xdr:colOff>
      <xdr:row>98</xdr:row>
      <xdr:rowOff>348343</xdr:rowOff>
    </xdr:to>
    <xdr:sp macro="" textlink="">
      <xdr:nvSpPr>
        <xdr:cNvPr id="52" name="AutoShape 28">
          <a:extLst>
            <a:ext uri="{FF2B5EF4-FFF2-40B4-BE49-F238E27FC236}">
              <a16:creationId xmlns:a16="http://schemas.microsoft.com/office/drawing/2014/main" id="{00000000-0008-0000-0000-000034000000}"/>
            </a:ext>
          </a:extLst>
        </xdr:cNvPr>
        <xdr:cNvSpPr>
          <a:spLocks noChangeArrowheads="1"/>
        </xdr:cNvSpPr>
      </xdr:nvSpPr>
      <xdr:spPr bwMode="auto">
        <a:xfrm>
          <a:off x="2276929" y="40758836"/>
          <a:ext cx="11524346" cy="33745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446313</xdr:colOff>
      <xdr:row>101</xdr:row>
      <xdr:rowOff>1</xdr:rowOff>
    </xdr:from>
    <xdr:to>
      <xdr:col>12</xdr:col>
      <xdr:colOff>21771</xdr:colOff>
      <xdr:row>102</xdr:row>
      <xdr:rowOff>0</xdr:rowOff>
    </xdr:to>
    <xdr:sp macro="" textlink="">
      <xdr:nvSpPr>
        <xdr:cNvPr id="53" name="AutoShape 28">
          <a:extLst>
            <a:ext uri="{FF2B5EF4-FFF2-40B4-BE49-F238E27FC236}">
              <a16:creationId xmlns:a16="http://schemas.microsoft.com/office/drawing/2014/main" id="{00000000-0008-0000-0000-000035000000}"/>
            </a:ext>
          </a:extLst>
        </xdr:cNvPr>
        <xdr:cNvSpPr>
          <a:spLocks noChangeArrowheads="1"/>
        </xdr:cNvSpPr>
      </xdr:nvSpPr>
      <xdr:spPr bwMode="auto">
        <a:xfrm>
          <a:off x="2287813" y="41986201"/>
          <a:ext cx="2553608" cy="380999"/>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261257</xdr:colOff>
      <xdr:row>102</xdr:row>
      <xdr:rowOff>21774</xdr:rowOff>
    </xdr:from>
    <xdr:to>
      <xdr:col>16</xdr:col>
      <xdr:colOff>0</xdr:colOff>
      <xdr:row>103</xdr:row>
      <xdr:rowOff>10885</xdr:rowOff>
    </xdr:to>
    <xdr:sp macro="" textlink="">
      <xdr:nvSpPr>
        <xdr:cNvPr id="54" name="AutoShape 28">
          <a:extLst>
            <a:ext uri="{FF2B5EF4-FFF2-40B4-BE49-F238E27FC236}">
              <a16:creationId xmlns:a16="http://schemas.microsoft.com/office/drawing/2014/main" id="{00000000-0008-0000-0000-000036000000}"/>
            </a:ext>
          </a:extLst>
        </xdr:cNvPr>
        <xdr:cNvSpPr>
          <a:spLocks noChangeArrowheads="1"/>
        </xdr:cNvSpPr>
      </xdr:nvSpPr>
      <xdr:spPr bwMode="auto">
        <a:xfrm>
          <a:off x="3829957" y="42388974"/>
          <a:ext cx="2583543" cy="4463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326571</xdr:colOff>
      <xdr:row>102</xdr:row>
      <xdr:rowOff>0</xdr:rowOff>
    </xdr:from>
    <xdr:to>
      <xdr:col>32</xdr:col>
      <xdr:colOff>43542</xdr:colOff>
      <xdr:row>102</xdr:row>
      <xdr:rowOff>370111</xdr:rowOff>
    </xdr:to>
    <xdr:sp macro="" textlink="">
      <xdr:nvSpPr>
        <xdr:cNvPr id="55" name="AutoShape 28">
          <a:extLst>
            <a:ext uri="{FF2B5EF4-FFF2-40B4-BE49-F238E27FC236}">
              <a16:creationId xmlns:a16="http://schemas.microsoft.com/office/drawing/2014/main" id="{00000000-0008-0000-0000-000037000000}"/>
            </a:ext>
          </a:extLst>
        </xdr:cNvPr>
        <xdr:cNvSpPr>
          <a:spLocks noChangeArrowheads="1"/>
        </xdr:cNvSpPr>
      </xdr:nvSpPr>
      <xdr:spPr bwMode="auto">
        <a:xfrm>
          <a:off x="9286421" y="42367200"/>
          <a:ext cx="2968171" cy="37011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21772</xdr:colOff>
      <xdr:row>120</xdr:row>
      <xdr:rowOff>32657</xdr:rowOff>
    </xdr:from>
    <xdr:to>
      <xdr:col>18</xdr:col>
      <xdr:colOff>304800</xdr:colOff>
      <xdr:row>121</xdr:row>
      <xdr:rowOff>32658</xdr:rowOff>
    </xdr:to>
    <xdr:sp macro="" textlink="">
      <xdr:nvSpPr>
        <xdr:cNvPr id="56" name="AutoShape 28">
          <a:extLst>
            <a:ext uri="{FF2B5EF4-FFF2-40B4-BE49-F238E27FC236}">
              <a16:creationId xmlns:a16="http://schemas.microsoft.com/office/drawing/2014/main" id="{00000000-0008-0000-0000-000038000000}"/>
            </a:ext>
          </a:extLst>
        </xdr:cNvPr>
        <xdr:cNvSpPr>
          <a:spLocks noChangeArrowheads="1"/>
        </xdr:cNvSpPr>
      </xdr:nvSpPr>
      <xdr:spPr bwMode="auto">
        <a:xfrm>
          <a:off x="3590472" y="49188007"/>
          <a:ext cx="3813628" cy="387351"/>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449262</xdr:colOff>
      <xdr:row>86</xdr:row>
      <xdr:rowOff>15081</xdr:rowOff>
    </xdr:from>
    <xdr:to>
      <xdr:col>7</xdr:col>
      <xdr:colOff>21897</xdr:colOff>
      <xdr:row>86</xdr:row>
      <xdr:rowOff>261937</xdr:rowOff>
    </xdr:to>
    <xdr:sp macro="" textlink="">
      <xdr:nvSpPr>
        <xdr:cNvPr id="57" name="AutoShape 28">
          <a:extLst>
            <a:ext uri="{FF2B5EF4-FFF2-40B4-BE49-F238E27FC236}">
              <a16:creationId xmlns:a16="http://schemas.microsoft.com/office/drawing/2014/main" id="{00000000-0008-0000-0000-000039000000}"/>
            </a:ext>
          </a:extLst>
        </xdr:cNvPr>
        <xdr:cNvSpPr>
          <a:spLocks noChangeArrowheads="1"/>
        </xdr:cNvSpPr>
      </xdr:nvSpPr>
      <xdr:spPr bwMode="auto">
        <a:xfrm>
          <a:off x="2290762" y="36603781"/>
          <a:ext cx="779135" cy="246856"/>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449262</xdr:colOff>
      <xdr:row>93</xdr:row>
      <xdr:rowOff>15081</xdr:rowOff>
    </xdr:from>
    <xdr:to>
      <xdr:col>7</xdr:col>
      <xdr:colOff>21897</xdr:colOff>
      <xdr:row>93</xdr:row>
      <xdr:rowOff>261937</xdr:rowOff>
    </xdr:to>
    <xdr:sp macro="" textlink="">
      <xdr:nvSpPr>
        <xdr:cNvPr id="58" name="AutoShape 28">
          <a:extLst>
            <a:ext uri="{FF2B5EF4-FFF2-40B4-BE49-F238E27FC236}">
              <a16:creationId xmlns:a16="http://schemas.microsoft.com/office/drawing/2014/main" id="{00000000-0008-0000-0000-00003A000000}"/>
            </a:ext>
          </a:extLst>
        </xdr:cNvPr>
        <xdr:cNvSpPr>
          <a:spLocks noChangeArrowheads="1"/>
        </xdr:cNvSpPr>
      </xdr:nvSpPr>
      <xdr:spPr bwMode="auto">
        <a:xfrm>
          <a:off x="2290762" y="39169181"/>
          <a:ext cx="779135" cy="246856"/>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449262</xdr:colOff>
      <xdr:row>100</xdr:row>
      <xdr:rowOff>15081</xdr:rowOff>
    </xdr:from>
    <xdr:to>
      <xdr:col>7</xdr:col>
      <xdr:colOff>21897</xdr:colOff>
      <xdr:row>100</xdr:row>
      <xdr:rowOff>261937</xdr:rowOff>
    </xdr:to>
    <xdr:sp macro="" textlink="">
      <xdr:nvSpPr>
        <xdr:cNvPr id="59" name="AutoShape 28">
          <a:extLst>
            <a:ext uri="{FF2B5EF4-FFF2-40B4-BE49-F238E27FC236}">
              <a16:creationId xmlns:a16="http://schemas.microsoft.com/office/drawing/2014/main" id="{00000000-0008-0000-0000-00003B000000}"/>
            </a:ext>
          </a:extLst>
        </xdr:cNvPr>
        <xdr:cNvSpPr>
          <a:spLocks noChangeArrowheads="1"/>
        </xdr:cNvSpPr>
      </xdr:nvSpPr>
      <xdr:spPr bwMode="auto">
        <a:xfrm>
          <a:off x="2290762" y="41734581"/>
          <a:ext cx="779135" cy="246856"/>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145355</xdr:colOff>
      <xdr:row>79</xdr:row>
      <xdr:rowOff>20918</xdr:rowOff>
    </xdr:from>
    <xdr:to>
      <xdr:col>2</xdr:col>
      <xdr:colOff>444179</xdr:colOff>
      <xdr:row>79</xdr:row>
      <xdr:rowOff>368621</xdr:rowOff>
    </xdr:to>
    <xdr:sp macro="" textlink="">
      <xdr:nvSpPr>
        <xdr:cNvPr id="60" name="AutoShape 28">
          <a:extLst>
            <a:ext uri="{FF2B5EF4-FFF2-40B4-BE49-F238E27FC236}">
              <a16:creationId xmlns:a16="http://schemas.microsoft.com/office/drawing/2014/main" id="{00000000-0008-0000-0000-00003C000000}"/>
            </a:ext>
          </a:extLst>
        </xdr:cNvPr>
        <xdr:cNvSpPr>
          <a:spLocks noChangeArrowheads="1"/>
        </xdr:cNvSpPr>
      </xdr:nvSpPr>
      <xdr:spPr bwMode="auto">
        <a:xfrm>
          <a:off x="189805" y="32361468"/>
          <a:ext cx="444874" cy="347703"/>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41102</xdr:colOff>
      <xdr:row>57</xdr:row>
      <xdr:rowOff>23585</xdr:rowOff>
    </xdr:from>
    <xdr:to>
      <xdr:col>3</xdr:col>
      <xdr:colOff>69273</xdr:colOff>
      <xdr:row>57</xdr:row>
      <xdr:rowOff>323272</xdr:rowOff>
    </xdr:to>
    <xdr:sp macro="" textlink="">
      <xdr:nvSpPr>
        <xdr:cNvPr id="61" name="AutoShape 28">
          <a:extLst>
            <a:ext uri="{FF2B5EF4-FFF2-40B4-BE49-F238E27FC236}">
              <a16:creationId xmlns:a16="http://schemas.microsoft.com/office/drawing/2014/main" id="{00000000-0008-0000-0000-00003D000000}"/>
            </a:ext>
          </a:extLst>
        </xdr:cNvPr>
        <xdr:cNvSpPr>
          <a:spLocks noChangeArrowheads="1"/>
        </xdr:cNvSpPr>
      </xdr:nvSpPr>
      <xdr:spPr bwMode="auto">
        <a:xfrm>
          <a:off x="85552" y="24051985"/>
          <a:ext cx="618721" cy="29968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54956</xdr:colOff>
      <xdr:row>58</xdr:row>
      <xdr:rowOff>37439</xdr:rowOff>
    </xdr:from>
    <xdr:to>
      <xdr:col>3</xdr:col>
      <xdr:colOff>83127</xdr:colOff>
      <xdr:row>58</xdr:row>
      <xdr:rowOff>337126</xdr:rowOff>
    </xdr:to>
    <xdr:sp macro="" textlink="">
      <xdr:nvSpPr>
        <xdr:cNvPr id="62" name="AutoShape 28">
          <a:extLst>
            <a:ext uri="{FF2B5EF4-FFF2-40B4-BE49-F238E27FC236}">
              <a16:creationId xmlns:a16="http://schemas.microsoft.com/office/drawing/2014/main" id="{00000000-0008-0000-0000-00003E000000}"/>
            </a:ext>
          </a:extLst>
        </xdr:cNvPr>
        <xdr:cNvSpPr>
          <a:spLocks noChangeArrowheads="1"/>
        </xdr:cNvSpPr>
      </xdr:nvSpPr>
      <xdr:spPr bwMode="auto">
        <a:xfrm>
          <a:off x="99406" y="24427789"/>
          <a:ext cx="618721" cy="299687"/>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109</xdr:col>
      <xdr:colOff>125801</xdr:colOff>
      <xdr:row>11</xdr:row>
      <xdr:rowOff>236807</xdr:rowOff>
    </xdr:from>
    <xdr:to>
      <xdr:col>109</xdr:col>
      <xdr:colOff>1976886</xdr:colOff>
      <xdr:row>12</xdr:row>
      <xdr:rowOff>215659</xdr:rowOff>
    </xdr:to>
    <xdr:sp macro="" textlink="">
      <xdr:nvSpPr>
        <xdr:cNvPr id="2" name="大かっこ 1">
          <a:extLst>
            <a:ext uri="{FF2B5EF4-FFF2-40B4-BE49-F238E27FC236}">
              <a16:creationId xmlns:a16="http://schemas.microsoft.com/office/drawing/2014/main" id="{948C82BE-05D2-405C-B735-91288AA318AD}"/>
            </a:ext>
          </a:extLst>
        </xdr:cNvPr>
        <xdr:cNvSpPr/>
      </xdr:nvSpPr>
      <xdr:spPr>
        <a:xfrm>
          <a:off x="119961084" y="3184165"/>
          <a:ext cx="1851085" cy="661777"/>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28</xdr:col>
      <xdr:colOff>104657</xdr:colOff>
      <xdr:row>11</xdr:row>
      <xdr:rowOff>575608</xdr:rowOff>
    </xdr:from>
    <xdr:to>
      <xdr:col>28</xdr:col>
      <xdr:colOff>1362676</xdr:colOff>
      <xdr:row>12</xdr:row>
      <xdr:rowOff>369471</xdr:rowOff>
    </xdr:to>
    <xdr:sp macro="" textlink="">
      <xdr:nvSpPr>
        <xdr:cNvPr id="3" name="大かっこ 2">
          <a:extLst>
            <a:ext uri="{FF2B5EF4-FFF2-40B4-BE49-F238E27FC236}">
              <a16:creationId xmlns:a16="http://schemas.microsoft.com/office/drawing/2014/main" id="{CB9AF161-32E4-41B9-9B92-05A95EDC271E}"/>
            </a:ext>
          </a:extLst>
        </xdr:cNvPr>
        <xdr:cNvSpPr/>
      </xdr:nvSpPr>
      <xdr:spPr>
        <a:xfrm>
          <a:off x="32056702" y="3445478"/>
          <a:ext cx="1258019" cy="474220"/>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T236"/>
  <sheetViews>
    <sheetView view="pageBreakPreview" topLeftCell="A25" zoomScale="40" zoomScaleNormal="100" zoomScaleSheetLayoutView="40" zoomScalePageLayoutView="40" workbookViewId="0">
      <selection activeCell="BC58" sqref="BC58"/>
    </sheetView>
  </sheetViews>
  <sheetFormatPr defaultColWidth="8.86328125" defaultRowHeight="13.5" x14ac:dyDescent="0.1"/>
  <cols>
    <col min="1" max="1" width="0.6796875" style="7" customWidth="1"/>
    <col min="2" max="2" width="2.04296875" style="7" customWidth="1"/>
    <col min="3" max="3" width="6.40625" style="15" customWidth="1"/>
    <col min="4" max="7" width="8.58984375" style="9" customWidth="1"/>
    <col min="8" max="8" width="7.49609375" style="7" customWidth="1"/>
    <col min="9" max="9" width="3.953125" style="7" customWidth="1"/>
    <col min="10" max="10" width="5.04296875" style="7" customWidth="1"/>
    <col min="11" max="11" width="3.953125" style="7" customWidth="1"/>
    <col min="12" max="12" width="4.90625" style="7" customWidth="1"/>
    <col min="13" max="13" width="5.04296875" style="7" customWidth="1"/>
    <col min="14" max="14" width="7.90625" style="7" customWidth="1"/>
    <col min="15" max="19" width="4.90625" style="7" customWidth="1"/>
    <col min="20" max="20" width="7.90625" style="7" customWidth="1"/>
    <col min="21" max="21" width="4.49609375" style="7" customWidth="1"/>
    <col min="22" max="22" width="4.90625" style="7" customWidth="1"/>
    <col min="23" max="23" width="4.49609375" style="7" customWidth="1"/>
    <col min="24" max="25" width="4.90625" style="7" customWidth="1"/>
    <col min="26" max="26" width="7.6328125" style="7" customWidth="1"/>
    <col min="27" max="27" width="3.6796875" style="7" customWidth="1"/>
    <col min="28" max="28" width="4.49609375" style="7" customWidth="1"/>
    <col min="29" max="29" width="4.08984375" style="7" customWidth="1"/>
    <col min="30" max="31" width="4.90625" style="7" customWidth="1"/>
    <col min="32" max="32" width="7.08984375" style="7" customWidth="1"/>
    <col min="33" max="33" width="4.08984375" style="7" customWidth="1"/>
    <col min="34" max="34" width="4.90625" style="7" customWidth="1"/>
    <col min="35" max="35" width="3.6796875" style="7" customWidth="1"/>
    <col min="36" max="37" width="4.90625" style="7" customWidth="1"/>
    <col min="38" max="38" width="2.453125" style="7" customWidth="1"/>
    <col min="39" max="39" width="0.40625" style="7" customWidth="1"/>
    <col min="40" max="40" width="14.86328125" style="7" hidden="1" customWidth="1"/>
    <col min="41" max="41" width="15.40625" style="7" hidden="1" customWidth="1"/>
    <col min="42" max="42" width="17.453125" style="7" hidden="1" customWidth="1"/>
    <col min="43" max="43" width="15.40625" style="7" hidden="1" customWidth="1"/>
    <col min="44" max="44" width="14.86328125" style="7" hidden="1" customWidth="1"/>
    <col min="45" max="45" width="9.40625" style="7" hidden="1" customWidth="1"/>
    <col min="46" max="55" width="9.40625" style="7" customWidth="1"/>
    <col min="56" max="16384" width="8.86328125" style="7"/>
  </cols>
  <sheetData>
    <row r="1" spans="1:38" ht="31.35" customHeight="1" x14ac:dyDescent="0.1">
      <c r="C1" s="8"/>
    </row>
    <row r="2" spans="1:38" ht="30" customHeight="1" x14ac:dyDescent="0.1">
      <c r="A2" s="147" t="s">
        <v>3664</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row>
    <row r="3" spans="1:38" ht="24" customHeight="1" x14ac:dyDescent="0.1">
      <c r="C3" s="10"/>
      <c r="AK3" s="11"/>
    </row>
    <row r="4" spans="1:38" s="12" customFormat="1" ht="24" customHeight="1" x14ac:dyDescent="0.1">
      <c r="C4" s="13"/>
      <c r="D4" s="14"/>
      <c r="E4" s="14"/>
      <c r="F4" s="14"/>
      <c r="G4" s="14"/>
      <c r="V4" s="148" t="s">
        <v>3</v>
      </c>
      <c r="W4" s="148"/>
      <c r="X4" s="148"/>
      <c r="Y4" s="148"/>
      <c r="Z4" s="148"/>
      <c r="AA4" s="149"/>
      <c r="AB4" s="149"/>
      <c r="AC4" s="149"/>
      <c r="AD4" s="149"/>
      <c r="AE4" s="148" t="s">
        <v>4</v>
      </c>
      <c r="AF4" s="148"/>
      <c r="AG4" s="148"/>
      <c r="AH4" s="148"/>
      <c r="AI4" s="149"/>
      <c r="AJ4" s="149"/>
      <c r="AK4" s="149"/>
      <c r="AL4" s="149"/>
    </row>
    <row r="5" spans="1:38" ht="24" customHeight="1" x14ac:dyDescent="0.1"/>
    <row r="6" spans="1:38" ht="28.35" customHeight="1" x14ac:dyDescent="0.1">
      <c r="C6" s="16"/>
      <c r="D6" s="150" t="s">
        <v>3651</v>
      </c>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7"/>
    </row>
    <row r="7" spans="1:38" s="18" customFormat="1" ht="42" customHeight="1" x14ac:dyDescent="0.1">
      <c r="C7" s="19"/>
      <c r="D7" s="167" t="s">
        <v>3682</v>
      </c>
      <c r="E7" s="167"/>
      <c r="F7" s="167"/>
      <c r="G7" s="167"/>
      <c r="H7" s="167"/>
      <c r="I7" s="167"/>
      <c r="J7" s="167"/>
      <c r="K7" s="167"/>
      <c r="L7" s="167"/>
      <c r="M7" s="167"/>
      <c r="N7" s="167"/>
      <c r="O7" s="167"/>
      <c r="P7" s="167"/>
      <c r="Q7" s="167"/>
      <c r="R7" s="167"/>
      <c r="S7" s="167"/>
      <c r="T7" s="167"/>
      <c r="U7" s="167"/>
      <c r="V7" s="167"/>
      <c r="W7" s="167"/>
      <c r="X7" s="167"/>
      <c r="Y7" s="167"/>
      <c r="Z7" s="167"/>
      <c r="AA7" s="167"/>
      <c r="AB7" s="167"/>
      <c r="AC7" s="167"/>
      <c r="AD7" s="167"/>
      <c r="AE7" s="167"/>
      <c r="AF7" s="167"/>
      <c r="AG7" s="167"/>
      <c r="AH7" s="167"/>
      <c r="AI7" s="167"/>
      <c r="AJ7" s="167"/>
      <c r="AK7" s="167"/>
      <c r="AL7" s="167"/>
    </row>
    <row r="8" spans="1:38" s="18" customFormat="1" ht="42" customHeight="1" x14ac:dyDescent="0.1">
      <c r="C8" s="19"/>
      <c r="D8" s="167"/>
      <c r="E8" s="167"/>
      <c r="F8" s="167"/>
      <c r="G8" s="167"/>
      <c r="H8" s="167"/>
      <c r="I8" s="167"/>
      <c r="J8" s="167"/>
      <c r="K8" s="167"/>
      <c r="L8" s="167"/>
      <c r="M8" s="167"/>
      <c r="N8" s="167"/>
      <c r="O8" s="167"/>
      <c r="P8" s="167"/>
      <c r="Q8" s="167"/>
      <c r="R8" s="167"/>
      <c r="S8" s="167"/>
      <c r="T8" s="167"/>
      <c r="U8" s="167"/>
      <c r="V8" s="167"/>
      <c r="W8" s="167"/>
      <c r="X8" s="167"/>
      <c r="Y8" s="167"/>
      <c r="Z8" s="167"/>
      <c r="AA8" s="167"/>
      <c r="AB8" s="167"/>
      <c r="AC8" s="167"/>
      <c r="AD8" s="167"/>
      <c r="AE8" s="167"/>
      <c r="AF8" s="167"/>
      <c r="AG8" s="167"/>
      <c r="AH8" s="167"/>
      <c r="AI8" s="167"/>
      <c r="AJ8" s="167"/>
      <c r="AK8" s="167"/>
      <c r="AL8" s="167"/>
    </row>
    <row r="9" spans="1:38" s="18" customFormat="1" ht="72.599999999999994" customHeight="1" x14ac:dyDescent="0.1">
      <c r="C9" s="19"/>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7"/>
      <c r="AG9" s="167"/>
      <c r="AH9" s="167"/>
      <c r="AI9" s="167"/>
      <c r="AJ9" s="167"/>
      <c r="AK9" s="167"/>
      <c r="AL9" s="167"/>
    </row>
    <row r="10" spans="1:38" s="18" customFormat="1" ht="48" customHeight="1" x14ac:dyDescent="0.1">
      <c r="C10" s="20"/>
      <c r="D10" s="21"/>
      <c r="E10" s="21"/>
      <c r="F10" s="21"/>
      <c r="G10" s="21"/>
      <c r="H10" s="21"/>
      <c r="I10" s="21"/>
      <c r="J10" s="21"/>
      <c r="K10" s="21"/>
      <c r="L10" s="21"/>
      <c r="M10" s="21"/>
      <c r="N10" s="21"/>
      <c r="O10" s="22"/>
      <c r="P10" s="22"/>
      <c r="Q10" s="22"/>
      <c r="R10" s="22"/>
      <c r="S10" s="22"/>
      <c r="T10" s="22"/>
      <c r="U10" s="22"/>
      <c r="V10" s="22"/>
      <c r="W10" s="22"/>
      <c r="X10" s="22"/>
      <c r="Y10" s="22"/>
      <c r="Z10" s="22"/>
      <c r="AA10" s="22"/>
      <c r="AB10" s="22"/>
      <c r="AC10" s="22"/>
      <c r="AD10" s="22"/>
      <c r="AE10" s="22"/>
      <c r="AF10" s="22"/>
      <c r="AG10" s="22"/>
      <c r="AH10" s="22"/>
      <c r="AI10" s="22"/>
      <c r="AJ10" s="22"/>
      <c r="AK10" s="22"/>
      <c r="AL10" s="22"/>
    </row>
    <row r="11" spans="1:38" s="23" customFormat="1" ht="66.599999999999994" customHeight="1" x14ac:dyDescent="0.1">
      <c r="C11" s="24"/>
      <c r="D11" s="168" t="s">
        <v>3683</v>
      </c>
      <c r="E11" s="169"/>
      <c r="F11" s="169"/>
      <c r="G11" s="169"/>
      <c r="H11" s="169"/>
      <c r="I11" s="169"/>
      <c r="J11" s="169"/>
      <c r="K11" s="169"/>
      <c r="L11" s="169"/>
      <c r="M11" s="169"/>
      <c r="N11" s="169"/>
      <c r="O11" s="169"/>
      <c r="P11" s="168" t="s">
        <v>3655</v>
      </c>
      <c r="Q11" s="168"/>
      <c r="R11" s="168"/>
      <c r="S11" s="168"/>
      <c r="T11" s="168"/>
      <c r="U11" s="168"/>
      <c r="V11" s="168"/>
      <c r="W11" s="168"/>
      <c r="X11" s="168"/>
      <c r="Y11" s="168"/>
      <c r="Z11" s="168"/>
      <c r="AA11" s="168"/>
      <c r="AB11" s="25"/>
      <c r="AC11" s="25"/>
      <c r="AD11" s="25"/>
      <c r="AE11" s="25"/>
      <c r="AF11" s="25"/>
      <c r="AG11" s="25"/>
      <c r="AH11" s="25"/>
      <c r="AI11" s="25"/>
      <c r="AJ11" s="25"/>
      <c r="AK11" s="25"/>
      <c r="AL11" s="25"/>
    </row>
    <row r="12" spans="1:38" s="23" customFormat="1" ht="48" customHeight="1" x14ac:dyDescent="0.1">
      <c r="C12" s="26"/>
      <c r="D12" s="170" t="s">
        <v>3652</v>
      </c>
      <c r="E12" s="171"/>
      <c r="F12" s="171"/>
      <c r="G12" s="171"/>
      <c r="H12" s="172"/>
      <c r="I12" s="170" t="s">
        <v>3653</v>
      </c>
      <c r="J12" s="171"/>
      <c r="K12" s="171"/>
      <c r="L12" s="171"/>
      <c r="M12" s="171"/>
      <c r="N12" s="171"/>
      <c r="O12" s="172"/>
      <c r="P12" s="173" t="s">
        <v>3652</v>
      </c>
      <c r="Q12" s="174"/>
      <c r="R12" s="174"/>
      <c r="S12" s="174"/>
      <c r="T12" s="174"/>
      <c r="U12" s="175"/>
      <c r="V12" s="173" t="s">
        <v>3653</v>
      </c>
      <c r="W12" s="174"/>
      <c r="X12" s="174"/>
      <c r="Y12" s="174"/>
      <c r="Z12" s="174"/>
      <c r="AA12" s="175"/>
      <c r="AB12" s="25"/>
      <c r="AC12" s="25"/>
      <c r="AD12" s="25"/>
      <c r="AE12" s="25"/>
      <c r="AF12" s="25"/>
      <c r="AG12" s="25"/>
      <c r="AH12" s="25"/>
      <c r="AI12" s="25"/>
      <c r="AJ12" s="25"/>
      <c r="AK12" s="25"/>
      <c r="AL12" s="25"/>
    </row>
    <row r="13" spans="1:38" s="23" customFormat="1" ht="24" customHeight="1" x14ac:dyDescent="0.1">
      <c r="C13" s="26"/>
      <c r="D13" s="151" t="s">
        <v>3665</v>
      </c>
      <c r="E13" s="152"/>
      <c r="F13" s="152"/>
      <c r="G13" s="152"/>
      <c r="H13" s="153"/>
      <c r="I13" s="151" t="s">
        <v>6</v>
      </c>
      <c r="J13" s="152"/>
      <c r="K13" s="152"/>
      <c r="L13" s="152"/>
      <c r="M13" s="152"/>
      <c r="N13" s="152"/>
      <c r="O13" s="153"/>
      <c r="P13" s="157" t="s">
        <v>5</v>
      </c>
      <c r="Q13" s="158"/>
      <c r="R13" s="158"/>
      <c r="S13" s="158"/>
      <c r="T13" s="158"/>
      <c r="U13" s="159"/>
      <c r="V13" s="157" t="s">
        <v>6</v>
      </c>
      <c r="W13" s="158"/>
      <c r="X13" s="158"/>
      <c r="Y13" s="158"/>
      <c r="Z13" s="158"/>
      <c r="AA13" s="159"/>
      <c r="AB13" s="27"/>
      <c r="AC13" s="27"/>
      <c r="AD13" s="27"/>
      <c r="AE13" s="27"/>
      <c r="AF13" s="27"/>
      <c r="AG13" s="27"/>
      <c r="AH13" s="27"/>
      <c r="AI13" s="27"/>
      <c r="AJ13" s="27"/>
      <c r="AK13" s="27"/>
      <c r="AL13" s="27"/>
    </row>
    <row r="14" spans="1:38" s="23" customFormat="1" ht="24" customHeight="1" x14ac:dyDescent="0.1">
      <c r="C14" s="24"/>
      <c r="D14" s="154"/>
      <c r="E14" s="155"/>
      <c r="F14" s="155"/>
      <c r="G14" s="155"/>
      <c r="H14" s="156"/>
      <c r="I14" s="154"/>
      <c r="J14" s="155"/>
      <c r="K14" s="155"/>
      <c r="L14" s="155"/>
      <c r="M14" s="155"/>
      <c r="N14" s="155"/>
      <c r="O14" s="156"/>
      <c r="P14" s="160"/>
      <c r="Q14" s="161"/>
      <c r="R14" s="161"/>
      <c r="S14" s="161"/>
      <c r="T14" s="161"/>
      <c r="U14" s="162"/>
      <c r="V14" s="160"/>
      <c r="W14" s="161"/>
      <c r="X14" s="161"/>
      <c r="Y14" s="161"/>
      <c r="Z14" s="161"/>
      <c r="AA14" s="162"/>
      <c r="AB14" s="25"/>
      <c r="AC14" s="25"/>
      <c r="AD14" s="25"/>
      <c r="AE14" s="25"/>
      <c r="AF14" s="25"/>
      <c r="AG14" s="25"/>
      <c r="AH14" s="25"/>
      <c r="AI14" s="25"/>
      <c r="AJ14" s="25"/>
      <c r="AK14" s="25"/>
      <c r="AL14" s="25"/>
    </row>
    <row r="15" spans="1:38" s="23" customFormat="1" ht="42" customHeight="1" x14ac:dyDescent="0.1">
      <c r="C15" s="24"/>
      <c r="D15" s="163"/>
      <c r="E15" s="164"/>
      <c r="F15" s="164"/>
      <c r="G15" s="164"/>
      <c r="H15" s="165"/>
      <c r="I15" s="163"/>
      <c r="J15" s="164"/>
      <c r="K15" s="164"/>
      <c r="L15" s="164"/>
      <c r="M15" s="164"/>
      <c r="N15" s="164"/>
      <c r="O15" s="165"/>
      <c r="P15" s="166"/>
      <c r="Q15" s="166"/>
      <c r="R15" s="166"/>
      <c r="S15" s="166"/>
      <c r="T15" s="166"/>
      <c r="U15" s="166"/>
      <c r="V15" s="166"/>
      <c r="W15" s="166"/>
      <c r="X15" s="166"/>
      <c r="Y15" s="166"/>
      <c r="Z15" s="166"/>
      <c r="AA15" s="166"/>
      <c r="AB15" s="25"/>
      <c r="AC15" s="25"/>
      <c r="AD15" s="25"/>
      <c r="AE15" s="25"/>
      <c r="AF15" s="25"/>
      <c r="AG15" s="25"/>
      <c r="AH15" s="25"/>
      <c r="AI15" s="25"/>
      <c r="AJ15" s="25"/>
      <c r="AK15" s="25"/>
      <c r="AL15" s="25"/>
    </row>
    <row r="16" spans="1:38" s="28" customFormat="1" ht="22.9" customHeight="1" x14ac:dyDescent="0.1">
      <c r="C16" s="20"/>
      <c r="D16" s="29"/>
      <c r="E16" s="29"/>
      <c r="F16" s="29"/>
      <c r="G16" s="29"/>
      <c r="H16" s="29"/>
      <c r="I16" s="29"/>
      <c r="J16" s="29"/>
      <c r="K16" s="29"/>
      <c r="L16" s="29"/>
      <c r="M16" s="29"/>
      <c r="N16" s="29"/>
      <c r="O16" s="29"/>
      <c r="P16" s="29"/>
      <c r="Q16" s="29"/>
      <c r="R16" s="29"/>
      <c r="S16" s="29"/>
      <c r="T16" s="29"/>
      <c r="U16" s="29"/>
      <c r="V16" s="29"/>
      <c r="W16" s="29"/>
      <c r="X16" s="29"/>
      <c r="Y16" s="29"/>
      <c r="Z16" s="29"/>
      <c r="AA16" s="29"/>
      <c r="AB16" s="30"/>
      <c r="AC16" s="30"/>
      <c r="AD16" s="30"/>
      <c r="AE16" s="30"/>
      <c r="AF16" s="30"/>
      <c r="AG16" s="30"/>
      <c r="AH16" s="30"/>
      <c r="AI16" s="30"/>
      <c r="AJ16" s="30"/>
      <c r="AK16" s="30"/>
      <c r="AL16" s="30"/>
    </row>
    <row r="17" spans="2:38" s="18" customFormat="1" ht="22.9" customHeight="1" x14ac:dyDescent="0.1">
      <c r="C17" s="19"/>
      <c r="D17" s="31"/>
      <c r="E17" s="31"/>
      <c r="F17" s="31"/>
      <c r="G17" s="31"/>
      <c r="Y17" s="32"/>
      <c r="Z17" s="6"/>
      <c r="AA17" s="6"/>
      <c r="AB17" s="6"/>
      <c r="AC17" s="6"/>
      <c r="AD17" s="6"/>
      <c r="AE17" s="6"/>
      <c r="AF17" s="6"/>
      <c r="AG17" s="6"/>
      <c r="AH17" s="6"/>
      <c r="AI17" s="6"/>
      <c r="AJ17" s="6"/>
      <c r="AK17" s="6"/>
    </row>
    <row r="18" spans="2:38" s="18" customFormat="1" ht="67.349999999999994" customHeight="1" x14ac:dyDescent="0.1">
      <c r="C18" s="19"/>
      <c r="D18" s="168" t="s">
        <v>3656</v>
      </c>
      <c r="E18" s="168"/>
      <c r="F18" s="168"/>
      <c r="G18" s="168"/>
      <c r="H18" s="168"/>
      <c r="I18" s="168"/>
      <c r="J18" s="168"/>
      <c r="K18" s="168"/>
      <c r="L18" s="168"/>
      <c r="M18" s="168"/>
      <c r="N18" s="168"/>
      <c r="O18" s="168"/>
      <c r="P18" s="168" t="s">
        <v>3654</v>
      </c>
      <c r="Q18" s="168"/>
      <c r="R18" s="168"/>
      <c r="S18" s="168"/>
      <c r="T18" s="168"/>
      <c r="U18" s="168"/>
      <c r="V18" s="168"/>
      <c r="W18" s="168"/>
      <c r="X18" s="168"/>
      <c r="Y18" s="168"/>
      <c r="Z18" s="168"/>
      <c r="AA18" s="168"/>
      <c r="AB18" s="33"/>
      <c r="AC18" s="33"/>
      <c r="AD18" s="33"/>
      <c r="AE18" s="33"/>
      <c r="AF18" s="33"/>
      <c r="AG18" s="33"/>
      <c r="AH18" s="33"/>
      <c r="AI18" s="33"/>
      <c r="AJ18" s="33"/>
      <c r="AK18" s="33"/>
      <c r="AL18" s="33"/>
    </row>
    <row r="19" spans="2:38" s="18" customFormat="1" ht="48" customHeight="1" x14ac:dyDescent="0.1">
      <c r="C19" s="20"/>
      <c r="D19" s="170" t="s">
        <v>3652</v>
      </c>
      <c r="E19" s="171"/>
      <c r="F19" s="171"/>
      <c r="G19" s="171"/>
      <c r="H19" s="172"/>
      <c r="I19" s="170" t="s">
        <v>3653</v>
      </c>
      <c r="J19" s="171"/>
      <c r="K19" s="171"/>
      <c r="L19" s="171"/>
      <c r="M19" s="171"/>
      <c r="N19" s="171"/>
      <c r="O19" s="172"/>
      <c r="P19" s="173" t="s">
        <v>3652</v>
      </c>
      <c r="Q19" s="174"/>
      <c r="R19" s="174"/>
      <c r="S19" s="174"/>
      <c r="T19" s="174"/>
      <c r="U19" s="175"/>
      <c r="V19" s="173" t="s">
        <v>3653</v>
      </c>
      <c r="W19" s="174"/>
      <c r="X19" s="174"/>
      <c r="Y19" s="174"/>
      <c r="Z19" s="174"/>
      <c r="AA19" s="175"/>
      <c r="AB19" s="6"/>
      <c r="AC19" s="6"/>
      <c r="AD19" s="6"/>
      <c r="AE19" s="6"/>
      <c r="AF19" s="6"/>
      <c r="AG19" s="6"/>
      <c r="AH19" s="6"/>
      <c r="AI19" s="6"/>
      <c r="AJ19" s="6"/>
      <c r="AK19" s="6"/>
    </row>
    <row r="20" spans="2:38" s="18" customFormat="1" ht="24" customHeight="1" x14ac:dyDescent="0.1">
      <c r="C20" s="20"/>
      <c r="D20" s="151" t="s">
        <v>3665</v>
      </c>
      <c r="E20" s="152"/>
      <c r="F20" s="152"/>
      <c r="G20" s="152"/>
      <c r="H20" s="153"/>
      <c r="I20" s="151" t="s">
        <v>6</v>
      </c>
      <c r="J20" s="152"/>
      <c r="K20" s="152"/>
      <c r="L20" s="152"/>
      <c r="M20" s="152"/>
      <c r="N20" s="152"/>
      <c r="O20" s="153"/>
      <c r="P20" s="157" t="s">
        <v>5</v>
      </c>
      <c r="Q20" s="158"/>
      <c r="R20" s="158"/>
      <c r="S20" s="158"/>
      <c r="T20" s="158"/>
      <c r="U20" s="159"/>
      <c r="V20" s="157" t="s">
        <v>6</v>
      </c>
      <c r="W20" s="158"/>
      <c r="X20" s="158"/>
      <c r="Y20" s="158"/>
      <c r="Z20" s="158"/>
      <c r="AA20" s="159"/>
      <c r="AB20" s="6"/>
      <c r="AC20" s="6"/>
      <c r="AD20" s="6"/>
      <c r="AE20" s="6"/>
      <c r="AF20" s="6"/>
      <c r="AG20" s="6"/>
      <c r="AH20" s="6"/>
      <c r="AI20" s="6"/>
      <c r="AJ20" s="6"/>
      <c r="AK20" s="6"/>
    </row>
    <row r="21" spans="2:38" s="18" customFormat="1" ht="24" customHeight="1" x14ac:dyDescent="0.1">
      <c r="C21" s="28"/>
      <c r="D21" s="154"/>
      <c r="E21" s="155"/>
      <c r="F21" s="155"/>
      <c r="G21" s="155"/>
      <c r="H21" s="156"/>
      <c r="I21" s="154"/>
      <c r="J21" s="155"/>
      <c r="K21" s="155"/>
      <c r="L21" s="155"/>
      <c r="M21" s="155"/>
      <c r="N21" s="155"/>
      <c r="O21" s="156"/>
      <c r="P21" s="160"/>
      <c r="Q21" s="161"/>
      <c r="R21" s="161"/>
      <c r="S21" s="161"/>
      <c r="T21" s="161"/>
      <c r="U21" s="162"/>
      <c r="V21" s="160"/>
      <c r="W21" s="161"/>
      <c r="X21" s="161"/>
      <c r="Y21" s="161"/>
      <c r="Z21" s="161"/>
      <c r="AA21" s="162"/>
    </row>
    <row r="22" spans="2:38" s="18" customFormat="1" ht="42.6" customHeight="1" x14ac:dyDescent="0.1">
      <c r="C22" s="28"/>
      <c r="D22" s="176"/>
      <c r="E22" s="177"/>
      <c r="F22" s="177"/>
      <c r="G22" s="177"/>
      <c r="H22" s="178"/>
      <c r="I22" s="176"/>
      <c r="J22" s="177"/>
      <c r="K22" s="177"/>
      <c r="L22" s="177"/>
      <c r="M22" s="177"/>
      <c r="N22" s="177"/>
      <c r="O22" s="178"/>
      <c r="P22" s="179"/>
      <c r="Q22" s="179"/>
      <c r="R22" s="179"/>
      <c r="S22" s="179"/>
      <c r="T22" s="179"/>
      <c r="U22" s="179"/>
      <c r="V22" s="179"/>
      <c r="W22" s="179"/>
      <c r="X22" s="179"/>
      <c r="Y22" s="179"/>
      <c r="Z22" s="179"/>
      <c r="AA22" s="179"/>
      <c r="AB22" s="34"/>
      <c r="AC22" s="34"/>
      <c r="AD22" s="34"/>
      <c r="AE22" s="34"/>
      <c r="AF22" s="34"/>
      <c r="AG22" s="34"/>
      <c r="AH22" s="34"/>
      <c r="AI22" s="34"/>
      <c r="AJ22" s="34"/>
      <c r="AK22" s="34"/>
    </row>
    <row r="23" spans="2:38" s="35" customFormat="1" ht="33" customHeight="1" x14ac:dyDescent="0.1">
      <c r="C23" s="36"/>
      <c r="D23" s="37"/>
      <c r="E23" s="37"/>
      <c r="F23" s="37"/>
      <c r="G23" s="37"/>
    </row>
    <row r="24" spans="2:38" ht="29.65" customHeight="1" x14ac:dyDescent="0.1">
      <c r="B24" s="38"/>
      <c r="C24" s="38"/>
      <c r="D24" s="39" t="s">
        <v>7</v>
      </c>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row>
    <row r="25" spans="2:38" s="18" customFormat="1" ht="105" customHeight="1" x14ac:dyDescent="0.1">
      <c r="C25" s="28"/>
      <c r="D25" s="181" t="s">
        <v>3684</v>
      </c>
      <c r="E25" s="181"/>
      <c r="F25" s="181"/>
      <c r="G25" s="181"/>
      <c r="H25" s="181"/>
      <c r="I25" s="181"/>
      <c r="J25" s="181"/>
      <c r="K25" s="181"/>
      <c r="L25" s="181"/>
      <c r="M25" s="181"/>
      <c r="N25" s="181"/>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row>
    <row r="26" spans="2:38" s="18" customFormat="1" ht="35.1" customHeight="1" x14ac:dyDescent="0.1">
      <c r="C26" s="28"/>
      <c r="D26" s="182"/>
      <c r="E26" s="182"/>
      <c r="F26" s="182"/>
      <c r="G26" s="182"/>
      <c r="H26" s="182"/>
      <c r="I26" s="182"/>
      <c r="J26" s="182"/>
      <c r="K26" s="182"/>
      <c r="L26" s="182"/>
      <c r="M26" s="182"/>
      <c r="N26" s="182"/>
      <c r="O26" s="182"/>
      <c r="P26" s="182"/>
      <c r="Q26" s="182"/>
      <c r="R26" s="182"/>
      <c r="S26" s="182"/>
      <c r="T26" s="182"/>
      <c r="U26" s="182"/>
      <c r="V26" s="182"/>
      <c r="W26" s="182"/>
      <c r="X26" s="182"/>
      <c r="Y26" s="182"/>
      <c r="Z26" s="182"/>
      <c r="AA26" s="182"/>
      <c r="AB26" s="182"/>
      <c r="AC26" s="182"/>
      <c r="AD26" s="182"/>
      <c r="AE26" s="182"/>
      <c r="AF26" s="182"/>
      <c r="AG26" s="182"/>
      <c r="AH26" s="182"/>
      <c r="AI26" s="182"/>
      <c r="AJ26" s="182"/>
      <c r="AK26" s="182"/>
      <c r="AL26" s="182"/>
    </row>
    <row r="27" spans="2:38" s="18" customFormat="1" ht="7.9" customHeight="1" x14ac:dyDescent="0.1">
      <c r="C27" s="28"/>
      <c r="D27" s="40"/>
      <c r="E27" s="40"/>
      <c r="F27" s="40"/>
      <c r="G27" s="40"/>
    </row>
    <row r="28" spans="2:38" s="18" customFormat="1" ht="24" customHeight="1" x14ac:dyDescent="0.1">
      <c r="C28" s="28"/>
      <c r="D28" s="183" t="s">
        <v>8</v>
      </c>
      <c r="E28" s="183"/>
      <c r="F28" s="183"/>
      <c r="G28" s="41"/>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row>
    <row r="29" spans="2:38" s="18" customFormat="1" ht="24" customHeight="1" x14ac:dyDescent="0.1">
      <c r="C29" s="28"/>
      <c r="D29" s="184" t="s">
        <v>3661</v>
      </c>
      <c r="E29" s="184"/>
      <c r="F29" s="184"/>
      <c r="G29" s="184"/>
      <c r="H29" s="180" t="s">
        <v>9</v>
      </c>
      <c r="I29" s="180"/>
      <c r="J29" s="180"/>
      <c r="K29" s="180"/>
      <c r="L29" s="180"/>
      <c r="M29" s="180"/>
      <c r="N29" s="180"/>
      <c r="O29" s="180"/>
      <c r="P29" s="180"/>
      <c r="Q29" s="180"/>
      <c r="R29" s="180"/>
      <c r="S29" s="180"/>
      <c r="T29" s="180"/>
      <c r="U29" s="180"/>
      <c r="V29" s="180"/>
      <c r="W29" s="180"/>
      <c r="X29" s="180"/>
      <c r="Y29" s="180"/>
      <c r="Z29" s="180"/>
      <c r="AA29" s="180"/>
      <c r="AB29" s="180"/>
      <c r="AC29" s="180"/>
      <c r="AD29" s="180"/>
      <c r="AE29" s="180"/>
      <c r="AF29" s="180"/>
      <c r="AG29" s="180"/>
      <c r="AH29" s="180"/>
      <c r="AI29" s="180"/>
      <c r="AJ29" s="180"/>
      <c r="AK29" s="180"/>
    </row>
    <row r="30" spans="2:38" s="18" customFormat="1" ht="24" customHeight="1" x14ac:dyDescent="0.1">
      <c r="C30" s="28"/>
      <c r="D30" s="184" t="s">
        <v>3662</v>
      </c>
      <c r="E30" s="184"/>
      <c r="F30" s="184"/>
      <c r="G30" s="184"/>
      <c r="H30" s="180" t="s">
        <v>10</v>
      </c>
      <c r="I30" s="180"/>
      <c r="J30" s="180"/>
      <c r="K30" s="180"/>
      <c r="L30" s="180"/>
      <c r="M30" s="180"/>
      <c r="N30" s="180"/>
      <c r="O30" s="180"/>
      <c r="P30" s="180"/>
      <c r="Q30" s="180"/>
      <c r="R30" s="180"/>
      <c r="S30" s="180"/>
      <c r="T30" s="180"/>
      <c r="U30" s="180"/>
      <c r="V30" s="180"/>
      <c r="W30" s="180"/>
      <c r="X30" s="180"/>
      <c r="Y30" s="180"/>
      <c r="Z30" s="180"/>
      <c r="AA30" s="180"/>
      <c r="AB30" s="180"/>
      <c r="AC30" s="180"/>
      <c r="AD30" s="180"/>
      <c r="AE30" s="180"/>
      <c r="AF30" s="180"/>
      <c r="AG30" s="180"/>
      <c r="AH30" s="180"/>
      <c r="AI30" s="180"/>
      <c r="AJ30" s="180"/>
      <c r="AK30" s="180"/>
    </row>
    <row r="31" spans="2:38" s="18" customFormat="1" ht="24" customHeight="1" x14ac:dyDescent="0.1">
      <c r="C31" s="28"/>
      <c r="D31" s="180" t="s">
        <v>11</v>
      </c>
      <c r="E31" s="180"/>
      <c r="F31" s="180"/>
      <c r="G31" s="180"/>
      <c r="H31" s="180" t="s">
        <v>12</v>
      </c>
      <c r="I31" s="180"/>
      <c r="J31" s="180"/>
      <c r="K31" s="180"/>
      <c r="L31" s="180"/>
      <c r="M31" s="180"/>
      <c r="N31" s="180"/>
      <c r="O31" s="180"/>
      <c r="P31" s="180"/>
      <c r="Q31" s="180"/>
      <c r="R31" s="180"/>
      <c r="S31" s="180"/>
      <c r="T31" s="180"/>
      <c r="U31" s="180"/>
      <c r="V31" s="180"/>
      <c r="W31" s="180"/>
      <c r="X31" s="180"/>
      <c r="Y31" s="180"/>
      <c r="Z31" s="180"/>
      <c r="AA31" s="180"/>
      <c r="AB31" s="180"/>
      <c r="AC31" s="180"/>
      <c r="AD31" s="180"/>
      <c r="AE31" s="180"/>
      <c r="AF31" s="180"/>
      <c r="AG31" s="180"/>
      <c r="AH31" s="180"/>
      <c r="AI31" s="180"/>
      <c r="AJ31" s="180"/>
      <c r="AK31" s="180"/>
    </row>
    <row r="32" spans="2:38" s="18" customFormat="1" ht="24" customHeight="1" x14ac:dyDescent="0.1">
      <c r="C32" s="28"/>
      <c r="D32" s="180" t="s">
        <v>13</v>
      </c>
      <c r="E32" s="180"/>
      <c r="F32" s="180"/>
      <c r="G32" s="180"/>
      <c r="H32" s="180" t="s">
        <v>14</v>
      </c>
      <c r="I32" s="180"/>
      <c r="J32" s="180"/>
      <c r="K32" s="180"/>
      <c r="L32" s="180"/>
      <c r="M32" s="180"/>
      <c r="N32" s="180"/>
      <c r="O32" s="180"/>
      <c r="P32" s="180"/>
      <c r="Q32" s="180"/>
      <c r="R32" s="180"/>
      <c r="S32" s="180"/>
      <c r="T32" s="180"/>
      <c r="U32" s="180"/>
      <c r="V32" s="180"/>
      <c r="W32" s="180"/>
      <c r="X32" s="180"/>
      <c r="Y32" s="180"/>
      <c r="Z32" s="180"/>
      <c r="AA32" s="180"/>
      <c r="AB32" s="180"/>
      <c r="AC32" s="180"/>
      <c r="AD32" s="180"/>
      <c r="AE32" s="180"/>
      <c r="AF32" s="180"/>
      <c r="AG32" s="180"/>
      <c r="AH32" s="180"/>
      <c r="AI32" s="180"/>
      <c r="AJ32" s="180"/>
      <c r="AK32" s="180"/>
    </row>
    <row r="33" spans="3:39" s="18" customFormat="1" ht="24" customHeight="1" x14ac:dyDescent="0.1">
      <c r="C33" s="28"/>
      <c r="D33" s="180" t="s">
        <v>15</v>
      </c>
      <c r="E33" s="180"/>
      <c r="F33" s="180"/>
      <c r="G33" s="180"/>
      <c r="H33" s="180" t="s">
        <v>16</v>
      </c>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80"/>
      <c r="AK33" s="180"/>
    </row>
    <row r="34" spans="3:39" s="18" customFormat="1" ht="48" customHeight="1" x14ac:dyDescent="0.1">
      <c r="C34" s="28"/>
      <c r="D34" s="40"/>
      <c r="E34" s="40"/>
      <c r="F34" s="40"/>
      <c r="G34" s="40"/>
    </row>
    <row r="35" spans="3:39" s="18" customFormat="1" ht="24" customHeight="1" x14ac:dyDescent="0.1">
      <c r="C35" s="28"/>
      <c r="D35" s="185" t="s">
        <v>17</v>
      </c>
      <c r="E35" s="185"/>
      <c r="F35" s="185"/>
      <c r="G35" s="185"/>
      <c r="H35" s="185"/>
      <c r="I35" s="185"/>
      <c r="J35" s="185"/>
      <c r="K35" s="185"/>
      <c r="L35" s="185"/>
      <c r="M35" s="185"/>
      <c r="N35" s="185"/>
      <c r="O35" s="185"/>
      <c r="P35" s="185"/>
      <c r="Q35" s="185"/>
      <c r="R35" s="185"/>
      <c r="S35" s="185"/>
      <c r="T35" s="185"/>
      <c r="U35" s="185"/>
      <c r="V35" s="185"/>
      <c r="W35" s="185"/>
      <c r="X35" s="185"/>
      <c r="Y35" s="185"/>
      <c r="Z35" s="185"/>
      <c r="AA35" s="185"/>
      <c r="AB35" s="185"/>
      <c r="AC35" s="185"/>
      <c r="AD35" s="185"/>
      <c r="AE35" s="185"/>
      <c r="AF35" s="185"/>
      <c r="AG35" s="185"/>
      <c r="AH35" s="185"/>
      <c r="AI35" s="185"/>
      <c r="AJ35" s="185"/>
      <c r="AK35" s="185"/>
    </row>
    <row r="36" spans="3:39" s="18" customFormat="1" ht="71.650000000000006" customHeight="1" x14ac:dyDescent="0.1">
      <c r="C36" s="28"/>
      <c r="D36" s="186" t="s">
        <v>18</v>
      </c>
      <c r="E36" s="187"/>
      <c r="F36" s="187"/>
      <c r="G36" s="187"/>
      <c r="H36" s="187"/>
      <c r="I36" s="187"/>
      <c r="J36" s="187"/>
      <c r="K36" s="187"/>
      <c r="L36" s="187"/>
      <c r="M36" s="187"/>
      <c r="N36" s="188"/>
      <c r="O36" s="189" t="s">
        <v>3685</v>
      </c>
      <c r="P36" s="190"/>
      <c r="Q36" s="190"/>
      <c r="R36" s="190"/>
      <c r="S36" s="190"/>
      <c r="T36" s="190"/>
      <c r="U36" s="190"/>
      <c r="V36" s="191"/>
      <c r="W36" s="186" t="s">
        <v>3686</v>
      </c>
      <c r="X36" s="192"/>
      <c r="Y36" s="192"/>
      <c r="Z36" s="192"/>
      <c r="AA36" s="192"/>
      <c r="AB36" s="192"/>
      <c r="AC36" s="192"/>
      <c r="AD36" s="193"/>
      <c r="AE36" s="189" t="s">
        <v>3687</v>
      </c>
      <c r="AF36" s="190"/>
      <c r="AG36" s="190"/>
      <c r="AH36" s="190"/>
      <c r="AI36" s="190"/>
      <c r="AJ36" s="190"/>
      <c r="AK36" s="191"/>
    </row>
    <row r="37" spans="3:39" s="18" customFormat="1" ht="30" customHeight="1" x14ac:dyDescent="0.1">
      <c r="C37" s="28"/>
      <c r="D37" s="194" t="s">
        <v>3661</v>
      </c>
      <c r="E37" s="195"/>
      <c r="F37" s="195"/>
      <c r="G37" s="195"/>
      <c r="H37" s="195"/>
      <c r="I37" s="195"/>
      <c r="J37" s="196"/>
      <c r="K37" s="196"/>
      <c r="L37" s="196"/>
      <c r="M37" s="196"/>
      <c r="N37" s="197"/>
      <c r="O37" s="198"/>
      <c r="P37" s="199"/>
      <c r="Q37" s="199"/>
      <c r="R37" s="199"/>
      <c r="S37" s="199"/>
      <c r="T37" s="199"/>
      <c r="U37" s="199"/>
      <c r="V37" s="200"/>
      <c r="W37" s="201" t="e">
        <f t="shared" ref="W37:W43" si="0">O37/$I$15</f>
        <v>#DIV/0!</v>
      </c>
      <c r="X37" s="202"/>
      <c r="Y37" s="202"/>
      <c r="Z37" s="202"/>
      <c r="AA37" s="202"/>
      <c r="AB37" s="202"/>
      <c r="AC37" s="202"/>
      <c r="AD37" s="203"/>
      <c r="AE37" s="198"/>
      <c r="AF37" s="204"/>
      <c r="AG37" s="204"/>
      <c r="AH37" s="204"/>
      <c r="AI37" s="204"/>
      <c r="AJ37" s="204"/>
      <c r="AK37" s="205"/>
    </row>
    <row r="38" spans="3:39" s="18" customFormat="1" ht="30" customHeight="1" x14ac:dyDescent="0.1">
      <c r="C38" s="28"/>
      <c r="D38" s="194" t="s">
        <v>3662</v>
      </c>
      <c r="E38" s="195"/>
      <c r="F38" s="195"/>
      <c r="G38" s="195"/>
      <c r="H38" s="195"/>
      <c r="I38" s="195"/>
      <c r="J38" s="196"/>
      <c r="K38" s="196"/>
      <c r="L38" s="196"/>
      <c r="M38" s="196"/>
      <c r="N38" s="197"/>
      <c r="O38" s="206"/>
      <c r="P38" s="204"/>
      <c r="Q38" s="204"/>
      <c r="R38" s="204"/>
      <c r="S38" s="204"/>
      <c r="T38" s="204"/>
      <c r="U38" s="204"/>
      <c r="V38" s="205"/>
      <c r="W38" s="201" t="e">
        <f t="shared" si="0"/>
        <v>#DIV/0!</v>
      </c>
      <c r="X38" s="202"/>
      <c r="Y38" s="202"/>
      <c r="Z38" s="202"/>
      <c r="AA38" s="202"/>
      <c r="AB38" s="202"/>
      <c r="AC38" s="202"/>
      <c r="AD38" s="203"/>
      <c r="AE38" s="198"/>
      <c r="AF38" s="207"/>
      <c r="AG38" s="207"/>
      <c r="AH38" s="207"/>
      <c r="AI38" s="207"/>
      <c r="AJ38" s="207"/>
      <c r="AK38" s="208"/>
    </row>
    <row r="39" spans="3:39" s="18" customFormat="1" ht="30" customHeight="1" x14ac:dyDescent="0.1">
      <c r="C39" s="28"/>
      <c r="D39" s="194" t="s">
        <v>11</v>
      </c>
      <c r="E39" s="195"/>
      <c r="F39" s="195"/>
      <c r="G39" s="195"/>
      <c r="H39" s="195"/>
      <c r="I39" s="195"/>
      <c r="J39" s="196"/>
      <c r="K39" s="196"/>
      <c r="L39" s="196"/>
      <c r="M39" s="196"/>
      <c r="N39" s="197"/>
      <c r="O39" s="206"/>
      <c r="P39" s="204"/>
      <c r="Q39" s="204"/>
      <c r="R39" s="204"/>
      <c r="S39" s="204"/>
      <c r="T39" s="204"/>
      <c r="U39" s="204"/>
      <c r="V39" s="205"/>
      <c r="W39" s="201" t="e">
        <f t="shared" si="0"/>
        <v>#DIV/0!</v>
      </c>
      <c r="X39" s="202"/>
      <c r="Y39" s="202"/>
      <c r="Z39" s="202"/>
      <c r="AA39" s="202"/>
      <c r="AB39" s="202"/>
      <c r="AC39" s="202"/>
      <c r="AD39" s="203"/>
      <c r="AE39" s="198"/>
      <c r="AF39" s="207"/>
      <c r="AG39" s="207"/>
      <c r="AH39" s="207"/>
      <c r="AI39" s="207"/>
      <c r="AJ39" s="207"/>
      <c r="AK39" s="208"/>
    </row>
    <row r="40" spans="3:39" s="18" customFormat="1" ht="30" customHeight="1" x14ac:dyDescent="0.1">
      <c r="C40" s="28"/>
      <c r="D40" s="194" t="s">
        <v>13</v>
      </c>
      <c r="E40" s="195"/>
      <c r="F40" s="195"/>
      <c r="G40" s="195"/>
      <c r="H40" s="195"/>
      <c r="I40" s="195"/>
      <c r="J40" s="196"/>
      <c r="K40" s="196"/>
      <c r="L40" s="196"/>
      <c r="M40" s="196"/>
      <c r="N40" s="197"/>
      <c r="O40" s="206"/>
      <c r="P40" s="199"/>
      <c r="Q40" s="199"/>
      <c r="R40" s="199"/>
      <c r="S40" s="199"/>
      <c r="T40" s="199"/>
      <c r="U40" s="199"/>
      <c r="V40" s="200"/>
      <c r="W40" s="201" t="e">
        <f t="shared" si="0"/>
        <v>#DIV/0!</v>
      </c>
      <c r="X40" s="202"/>
      <c r="Y40" s="202"/>
      <c r="Z40" s="202"/>
      <c r="AA40" s="202"/>
      <c r="AB40" s="202"/>
      <c r="AC40" s="202"/>
      <c r="AD40" s="203"/>
      <c r="AE40" s="198"/>
      <c r="AF40" s="207"/>
      <c r="AG40" s="207"/>
      <c r="AH40" s="207"/>
      <c r="AI40" s="207"/>
      <c r="AJ40" s="207"/>
      <c r="AK40" s="208"/>
    </row>
    <row r="41" spans="3:39" s="18" customFormat="1" ht="30" customHeight="1" x14ac:dyDescent="0.1">
      <c r="C41" s="28"/>
      <c r="D41" s="194" t="s">
        <v>15</v>
      </c>
      <c r="E41" s="195"/>
      <c r="F41" s="195"/>
      <c r="G41" s="195"/>
      <c r="H41" s="195"/>
      <c r="I41" s="195"/>
      <c r="J41" s="196"/>
      <c r="K41" s="196"/>
      <c r="L41" s="196"/>
      <c r="M41" s="196"/>
      <c r="N41" s="197"/>
      <c r="O41" s="206"/>
      <c r="P41" s="204"/>
      <c r="Q41" s="204"/>
      <c r="R41" s="204"/>
      <c r="S41" s="204"/>
      <c r="T41" s="204"/>
      <c r="U41" s="204"/>
      <c r="V41" s="205"/>
      <c r="W41" s="201" t="e">
        <f t="shared" si="0"/>
        <v>#DIV/0!</v>
      </c>
      <c r="X41" s="202"/>
      <c r="Y41" s="202"/>
      <c r="Z41" s="202"/>
      <c r="AA41" s="202"/>
      <c r="AB41" s="202"/>
      <c r="AC41" s="202"/>
      <c r="AD41" s="203"/>
      <c r="AE41" s="198"/>
      <c r="AF41" s="207"/>
      <c r="AG41" s="207"/>
      <c r="AH41" s="207"/>
      <c r="AI41" s="207"/>
      <c r="AJ41" s="207"/>
      <c r="AK41" s="208"/>
    </row>
    <row r="42" spans="3:39" s="18" customFormat="1" ht="30" customHeight="1" thickBot="1" x14ac:dyDescent="0.15">
      <c r="C42" s="28"/>
      <c r="D42" s="211" t="s">
        <v>19</v>
      </c>
      <c r="E42" s="212"/>
      <c r="F42" s="212"/>
      <c r="G42" s="212"/>
      <c r="H42" s="212"/>
      <c r="I42" s="212"/>
      <c r="J42" s="213"/>
      <c r="K42" s="213"/>
      <c r="L42" s="213"/>
      <c r="M42" s="213"/>
      <c r="N42" s="214"/>
      <c r="O42" s="215"/>
      <c r="P42" s="216"/>
      <c r="Q42" s="216"/>
      <c r="R42" s="216"/>
      <c r="S42" s="216"/>
      <c r="T42" s="216"/>
      <c r="U42" s="216"/>
      <c r="V42" s="217"/>
      <c r="W42" s="201" t="e">
        <f t="shared" si="0"/>
        <v>#DIV/0!</v>
      </c>
      <c r="X42" s="202"/>
      <c r="Y42" s="202"/>
      <c r="Z42" s="202"/>
      <c r="AA42" s="202"/>
      <c r="AB42" s="202"/>
      <c r="AC42" s="202"/>
      <c r="AD42" s="203"/>
      <c r="AE42" s="218"/>
      <c r="AF42" s="219"/>
      <c r="AG42" s="219"/>
      <c r="AH42" s="219"/>
      <c r="AI42" s="219"/>
      <c r="AJ42" s="219"/>
      <c r="AK42" s="220"/>
    </row>
    <row r="43" spans="3:39" s="18" customFormat="1" ht="30" customHeight="1" thickTop="1" x14ac:dyDescent="0.1">
      <c r="C43" s="28"/>
      <c r="D43" s="221" t="s">
        <v>20</v>
      </c>
      <c r="E43" s="222"/>
      <c r="F43" s="222"/>
      <c r="G43" s="222"/>
      <c r="H43" s="222"/>
      <c r="I43" s="222"/>
      <c r="J43" s="223"/>
      <c r="K43" s="223"/>
      <c r="L43" s="223"/>
      <c r="M43" s="223"/>
      <c r="N43" s="223"/>
      <c r="O43" s="224">
        <f>SUM(O37:V42)</f>
        <v>0</v>
      </c>
      <c r="P43" s="225"/>
      <c r="Q43" s="225"/>
      <c r="R43" s="225"/>
      <c r="S43" s="225"/>
      <c r="T43" s="225"/>
      <c r="U43" s="225"/>
      <c r="V43" s="226"/>
      <c r="W43" s="227" t="e">
        <f t="shared" si="0"/>
        <v>#DIV/0!</v>
      </c>
      <c r="X43" s="228"/>
      <c r="Y43" s="228"/>
      <c r="Z43" s="228"/>
      <c r="AA43" s="228"/>
      <c r="AB43" s="228"/>
      <c r="AC43" s="228"/>
      <c r="AD43" s="229"/>
      <c r="AE43" s="224">
        <f>SUM(AE37:AK42)</f>
        <v>0</v>
      </c>
      <c r="AF43" s="230"/>
      <c r="AG43" s="230"/>
      <c r="AH43" s="230"/>
      <c r="AI43" s="230"/>
      <c r="AJ43" s="230"/>
      <c r="AK43" s="231"/>
    </row>
    <row r="44" spans="3:39" s="18" customFormat="1" ht="24" customHeight="1" x14ac:dyDescent="0.1">
      <c r="C44" s="28"/>
      <c r="D44" s="43"/>
      <c r="E44" s="43"/>
      <c r="F44" s="43"/>
      <c r="G44" s="43"/>
      <c r="H44" s="43"/>
      <c r="I44" s="43"/>
      <c r="J44" s="43"/>
      <c r="K44" s="43"/>
      <c r="L44" s="43"/>
      <c r="M44" s="43"/>
      <c r="N44" s="43"/>
      <c r="O44" s="44"/>
      <c r="P44" s="44"/>
      <c r="Q44" s="44"/>
      <c r="R44" s="44"/>
      <c r="S44" s="44"/>
      <c r="T44" s="44"/>
      <c r="U44" s="44"/>
      <c r="V44" s="44"/>
      <c r="W44" s="44"/>
      <c r="X44" s="44"/>
      <c r="Y44" s="44"/>
      <c r="Z44" s="44"/>
      <c r="AA44" s="44"/>
      <c r="AB44" s="44"/>
      <c r="AC44" s="44"/>
      <c r="AD44" s="44"/>
      <c r="AE44" s="44"/>
      <c r="AF44" s="44"/>
      <c r="AG44" s="44"/>
      <c r="AH44" s="44"/>
      <c r="AI44" s="44"/>
      <c r="AJ44" s="44"/>
      <c r="AK44" s="44"/>
      <c r="AL44" s="45"/>
      <c r="AM44" s="45"/>
    </row>
    <row r="45" spans="3:39" s="18" customFormat="1" ht="25.15" customHeight="1" x14ac:dyDescent="0.1">
      <c r="C45" s="28"/>
      <c r="D45" s="234" t="s">
        <v>21</v>
      </c>
      <c r="E45" s="234"/>
      <c r="F45" s="234"/>
      <c r="G45" s="234"/>
      <c r="H45" s="234"/>
      <c r="I45" s="234"/>
      <c r="J45" s="234"/>
      <c r="K45" s="234"/>
      <c r="L45" s="234"/>
      <c r="M45" s="234"/>
      <c r="N45" s="234"/>
      <c r="O45" s="234"/>
      <c r="P45" s="234"/>
      <c r="Q45" s="234"/>
      <c r="R45" s="234"/>
      <c r="S45" s="234"/>
      <c r="T45" s="234"/>
      <c r="U45" s="234"/>
      <c r="V45" s="234"/>
      <c r="W45" s="234"/>
      <c r="X45" s="234"/>
      <c r="Y45" s="234"/>
      <c r="Z45" s="234"/>
      <c r="AA45" s="234"/>
      <c r="AB45" s="234"/>
      <c r="AC45" s="234"/>
      <c r="AD45" s="234"/>
      <c r="AE45" s="234"/>
      <c r="AF45" s="234"/>
      <c r="AG45" s="234"/>
      <c r="AH45" s="234"/>
      <c r="AI45" s="234"/>
      <c r="AJ45" s="234"/>
      <c r="AK45" s="234"/>
    </row>
    <row r="46" spans="3:39" s="18" customFormat="1" ht="49.35" customHeight="1" x14ac:dyDescent="0.1">
      <c r="C46" s="28"/>
      <c r="D46" s="235"/>
      <c r="E46" s="235"/>
      <c r="F46" s="235"/>
      <c r="G46" s="235"/>
      <c r="H46" s="235"/>
      <c r="I46" s="235"/>
      <c r="J46" s="235"/>
      <c r="K46" s="235"/>
      <c r="L46" s="235"/>
      <c r="M46" s="235"/>
      <c r="N46" s="235"/>
      <c r="O46" s="235"/>
      <c r="P46" s="235"/>
      <c r="Q46" s="235"/>
      <c r="R46" s="235"/>
      <c r="S46" s="235"/>
      <c r="T46" s="235"/>
      <c r="U46" s="235"/>
      <c r="V46" s="235"/>
      <c r="W46" s="235"/>
      <c r="X46" s="235"/>
      <c r="Y46" s="235"/>
      <c r="Z46" s="235"/>
      <c r="AA46" s="235"/>
      <c r="AB46" s="235"/>
      <c r="AC46" s="235"/>
      <c r="AD46" s="235"/>
      <c r="AE46" s="235"/>
      <c r="AF46" s="235"/>
      <c r="AG46" s="235"/>
      <c r="AH46" s="235"/>
      <c r="AI46" s="235"/>
      <c r="AJ46" s="235"/>
      <c r="AK46" s="235"/>
    </row>
    <row r="47" spans="3:39" ht="30" customHeight="1" x14ac:dyDescent="0.1"/>
    <row r="48" spans="3:39" ht="30" customHeight="1" x14ac:dyDescent="0.1">
      <c r="C48" s="46"/>
      <c r="D48" s="150" t="s">
        <v>74</v>
      </c>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0"/>
      <c r="AG48" s="150"/>
      <c r="AH48" s="150"/>
      <c r="AI48" s="150"/>
      <c r="AJ48" s="150"/>
      <c r="AK48" s="150"/>
    </row>
    <row r="49" spans="1:46" s="18" customFormat="1" ht="21" customHeight="1" x14ac:dyDescent="0.1">
      <c r="C49" s="45"/>
      <c r="D49" s="47"/>
      <c r="E49" s="47"/>
      <c r="F49" s="47"/>
      <c r="G49" s="47"/>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row>
    <row r="50" spans="1:46" s="18" customFormat="1" ht="18.600000000000001" customHeight="1" x14ac:dyDescent="0.1">
      <c r="C50" s="28"/>
      <c r="D50" s="210" t="s">
        <v>3678</v>
      </c>
      <c r="E50" s="210"/>
      <c r="F50" s="210"/>
      <c r="G50" s="210"/>
      <c r="H50" s="210"/>
      <c r="I50" s="210"/>
      <c r="J50" s="210"/>
      <c r="K50" s="210"/>
      <c r="L50" s="210"/>
      <c r="M50" s="210"/>
      <c r="N50" s="210"/>
      <c r="O50" s="210"/>
      <c r="P50" s="210"/>
      <c r="Q50" s="210"/>
      <c r="R50" s="210"/>
      <c r="S50" s="210"/>
      <c r="T50" s="210"/>
      <c r="U50" s="210"/>
      <c r="V50" s="210"/>
      <c r="W50" s="210"/>
      <c r="X50" s="210"/>
      <c r="Y50" s="210"/>
      <c r="Z50" s="210"/>
      <c r="AA50" s="210"/>
      <c r="AB50" s="210"/>
      <c r="AC50" s="210"/>
      <c r="AD50" s="210"/>
      <c r="AE50" s="210"/>
      <c r="AF50" s="210"/>
      <c r="AG50" s="210"/>
      <c r="AH50" s="210"/>
      <c r="AI50" s="210"/>
      <c r="AJ50" s="210"/>
      <c r="AK50" s="210"/>
    </row>
    <row r="51" spans="1:46" s="18" customFormat="1" ht="18.600000000000001" customHeight="1" x14ac:dyDescent="0.1">
      <c r="C51" s="28"/>
      <c r="D51" s="210"/>
      <c r="E51" s="210"/>
      <c r="F51" s="210"/>
      <c r="G51" s="210"/>
      <c r="H51" s="210"/>
      <c r="I51" s="210"/>
      <c r="J51" s="210"/>
      <c r="K51" s="210"/>
      <c r="L51" s="210"/>
      <c r="M51" s="210"/>
      <c r="N51" s="210"/>
      <c r="O51" s="210"/>
      <c r="P51" s="210"/>
      <c r="Q51" s="210"/>
      <c r="R51" s="210"/>
      <c r="S51" s="210"/>
      <c r="T51" s="210"/>
      <c r="U51" s="210"/>
      <c r="V51" s="210"/>
      <c r="W51" s="210"/>
      <c r="X51" s="210"/>
      <c r="Y51" s="210"/>
      <c r="Z51" s="210"/>
      <c r="AA51" s="210"/>
      <c r="AB51" s="210"/>
      <c r="AC51" s="210"/>
      <c r="AD51" s="210"/>
      <c r="AE51" s="210"/>
      <c r="AF51" s="210"/>
      <c r="AG51" s="210"/>
      <c r="AH51" s="210"/>
      <c r="AI51" s="210"/>
      <c r="AJ51" s="210"/>
      <c r="AK51" s="210"/>
    </row>
    <row r="52" spans="1:46" s="18" customFormat="1" ht="16.5" x14ac:dyDescent="0.1">
      <c r="C52" s="28"/>
      <c r="D52" s="40"/>
      <c r="E52" s="40"/>
      <c r="F52" s="40"/>
      <c r="G52" s="40"/>
    </row>
    <row r="53" spans="1:46" s="18" customFormat="1" ht="24.6" customHeight="1" x14ac:dyDescent="0.1">
      <c r="C53" s="209" t="s">
        <v>3716</v>
      </c>
      <c r="D53" s="210" t="s">
        <v>22</v>
      </c>
      <c r="E53" s="210"/>
      <c r="F53" s="210"/>
      <c r="G53" s="210"/>
      <c r="H53" s="210"/>
      <c r="I53" s="210"/>
      <c r="J53" s="210"/>
      <c r="K53" s="210"/>
      <c r="L53" s="210"/>
      <c r="M53" s="210"/>
      <c r="N53" s="210"/>
      <c r="O53" s="210"/>
      <c r="P53" s="210"/>
      <c r="Q53" s="210"/>
      <c r="R53" s="210"/>
      <c r="S53" s="210"/>
      <c r="T53" s="210"/>
      <c r="U53" s="210"/>
      <c r="V53" s="210"/>
      <c r="W53" s="210"/>
      <c r="X53" s="210"/>
      <c r="Y53" s="210"/>
      <c r="Z53" s="210"/>
      <c r="AA53" s="210"/>
      <c r="AB53" s="210"/>
      <c r="AC53" s="210"/>
      <c r="AD53" s="210"/>
      <c r="AE53" s="210"/>
      <c r="AF53" s="210"/>
      <c r="AG53" s="210"/>
      <c r="AH53" s="210"/>
      <c r="AI53" s="210"/>
      <c r="AJ53" s="210"/>
      <c r="AK53" s="210"/>
    </row>
    <row r="54" spans="1:46" s="18" customFormat="1" ht="27" customHeight="1" x14ac:dyDescent="0.1">
      <c r="C54" s="209"/>
      <c r="D54" s="210" t="s">
        <v>23</v>
      </c>
      <c r="E54" s="210"/>
      <c r="F54" s="210"/>
      <c r="G54" s="210"/>
      <c r="H54" s="210"/>
      <c r="I54" s="210"/>
      <c r="J54" s="210"/>
      <c r="K54" s="210"/>
      <c r="L54" s="210"/>
      <c r="M54" s="210"/>
      <c r="N54" s="210"/>
      <c r="O54" s="210"/>
      <c r="P54" s="210"/>
      <c r="Q54" s="210"/>
      <c r="R54" s="210"/>
      <c r="S54" s="210"/>
      <c r="T54" s="210"/>
      <c r="U54" s="210"/>
      <c r="V54" s="210"/>
      <c r="W54" s="210"/>
      <c r="X54" s="210"/>
      <c r="Y54" s="210"/>
      <c r="Z54" s="210"/>
      <c r="AA54" s="210"/>
      <c r="AB54" s="210"/>
      <c r="AC54" s="210"/>
      <c r="AD54" s="210"/>
      <c r="AE54" s="210"/>
      <c r="AF54" s="210"/>
      <c r="AG54" s="210"/>
      <c r="AH54" s="210"/>
      <c r="AI54" s="210"/>
      <c r="AJ54" s="210"/>
      <c r="AK54" s="210"/>
    </row>
    <row r="55" spans="1:46" s="18" customFormat="1" ht="45.75" customHeight="1" x14ac:dyDescent="0.1">
      <c r="C55" s="28"/>
      <c r="D55" s="40"/>
      <c r="E55" s="40"/>
      <c r="F55" s="40"/>
      <c r="G55" s="40"/>
    </row>
    <row r="56" spans="1:46" s="18" customFormat="1" ht="19.350000000000001" customHeight="1" x14ac:dyDescent="0.1">
      <c r="C56" s="28"/>
      <c r="D56" s="210" t="s">
        <v>3688</v>
      </c>
      <c r="E56" s="210"/>
      <c r="F56" s="210"/>
      <c r="G56" s="210"/>
      <c r="H56" s="210"/>
      <c r="I56" s="210"/>
      <c r="J56" s="210"/>
      <c r="K56" s="210"/>
      <c r="L56" s="210"/>
      <c r="M56" s="210"/>
      <c r="N56" s="210"/>
      <c r="O56" s="210"/>
      <c r="P56" s="210"/>
      <c r="Q56" s="210"/>
      <c r="R56" s="210"/>
      <c r="S56" s="210"/>
      <c r="T56" s="210"/>
      <c r="U56" s="210"/>
      <c r="V56" s="210"/>
      <c r="W56" s="210"/>
      <c r="X56" s="210"/>
      <c r="Y56" s="210"/>
      <c r="Z56" s="210"/>
      <c r="AA56" s="210"/>
      <c r="AB56" s="210"/>
      <c r="AC56" s="210"/>
      <c r="AD56" s="210"/>
      <c r="AE56" s="210"/>
      <c r="AF56" s="210"/>
      <c r="AG56" s="210"/>
      <c r="AH56" s="210"/>
      <c r="AI56" s="210"/>
      <c r="AJ56" s="210"/>
      <c r="AK56" s="210"/>
    </row>
    <row r="57" spans="1:46" s="18" customFormat="1" ht="19.350000000000001" customHeight="1" x14ac:dyDescent="0.1">
      <c r="C57" s="28"/>
      <c r="D57" s="210"/>
      <c r="E57" s="210"/>
      <c r="F57" s="210"/>
      <c r="G57" s="210"/>
      <c r="H57" s="210"/>
      <c r="I57" s="210"/>
      <c r="J57" s="210"/>
      <c r="K57" s="210"/>
      <c r="L57" s="210"/>
      <c r="M57" s="210"/>
      <c r="N57" s="210"/>
      <c r="O57" s="210"/>
      <c r="P57" s="210"/>
      <c r="Q57" s="210"/>
      <c r="R57" s="210"/>
      <c r="S57" s="210"/>
      <c r="T57" s="210"/>
      <c r="U57" s="210"/>
      <c r="V57" s="210"/>
      <c r="W57" s="210"/>
      <c r="X57" s="210"/>
      <c r="Y57" s="210"/>
      <c r="Z57" s="210"/>
      <c r="AA57" s="210"/>
      <c r="AB57" s="210"/>
      <c r="AC57" s="210"/>
      <c r="AD57" s="210"/>
      <c r="AE57" s="210"/>
      <c r="AF57" s="210"/>
      <c r="AG57" s="210"/>
      <c r="AH57" s="210"/>
      <c r="AI57" s="210"/>
      <c r="AJ57" s="210"/>
      <c r="AK57" s="210"/>
    </row>
    <row r="58" spans="1:46" s="18" customFormat="1" ht="28.9" customHeight="1" x14ac:dyDescent="0.1">
      <c r="C58" s="48"/>
      <c r="D58" s="210" t="s">
        <v>24</v>
      </c>
      <c r="E58" s="210"/>
      <c r="F58" s="210"/>
      <c r="G58" s="210"/>
      <c r="H58" s="210"/>
      <c r="I58" s="210"/>
      <c r="J58" s="210"/>
      <c r="K58" s="210"/>
      <c r="L58" s="210"/>
      <c r="M58" s="210"/>
      <c r="N58" s="210"/>
      <c r="O58" s="210"/>
      <c r="P58" s="210"/>
      <c r="Q58" s="210"/>
      <c r="R58" s="210"/>
      <c r="S58" s="210"/>
      <c r="T58" s="210"/>
      <c r="U58" s="210"/>
      <c r="V58" s="210"/>
      <c r="W58" s="210"/>
      <c r="X58" s="210"/>
      <c r="Y58" s="210"/>
      <c r="Z58" s="210"/>
      <c r="AA58" s="210"/>
      <c r="AB58" s="210"/>
      <c r="AC58" s="210"/>
      <c r="AD58" s="210"/>
      <c r="AE58" s="210"/>
      <c r="AF58" s="210"/>
      <c r="AG58" s="210"/>
      <c r="AH58" s="210"/>
      <c r="AI58" s="210"/>
      <c r="AJ58" s="210"/>
      <c r="AK58" s="210"/>
    </row>
    <row r="59" spans="1:46" s="18" customFormat="1" ht="28.9" customHeight="1" x14ac:dyDescent="0.1">
      <c r="C59" s="48"/>
      <c r="D59" s="210" t="s">
        <v>25</v>
      </c>
      <c r="E59" s="210"/>
      <c r="F59" s="210"/>
      <c r="G59" s="210"/>
      <c r="H59" s="210"/>
      <c r="I59" s="210"/>
      <c r="J59" s="210"/>
      <c r="K59" s="210"/>
      <c r="L59" s="210"/>
      <c r="M59" s="210"/>
      <c r="N59" s="210"/>
      <c r="O59" s="210"/>
      <c r="P59" s="210"/>
      <c r="Q59" s="210"/>
      <c r="R59" s="210"/>
      <c r="S59" s="210"/>
      <c r="T59" s="210"/>
      <c r="U59" s="210"/>
      <c r="V59" s="210"/>
      <c r="W59" s="210"/>
      <c r="X59" s="210"/>
      <c r="Y59" s="210"/>
      <c r="Z59" s="210"/>
      <c r="AA59" s="210"/>
      <c r="AB59" s="210"/>
      <c r="AC59" s="210"/>
      <c r="AD59" s="210"/>
      <c r="AE59" s="210"/>
      <c r="AF59" s="210"/>
      <c r="AG59" s="210"/>
      <c r="AH59" s="210"/>
      <c r="AI59" s="210"/>
      <c r="AJ59" s="210"/>
      <c r="AK59" s="210"/>
    </row>
    <row r="60" spans="1:46" s="18" customFormat="1" ht="30" customHeight="1" x14ac:dyDescent="0.1">
      <c r="C60" s="28"/>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row>
    <row r="61" spans="1:46" s="18" customFormat="1" ht="40.9" customHeight="1" x14ac:dyDescent="0.1">
      <c r="C61" s="28"/>
      <c r="D61" s="40"/>
      <c r="E61" s="40"/>
      <c r="F61" s="40"/>
      <c r="G61" s="40"/>
    </row>
    <row r="62" spans="1:46" s="18" customFormat="1" ht="54" customHeight="1" x14ac:dyDescent="0.1">
      <c r="A62" s="28"/>
      <c r="B62" s="28"/>
      <c r="C62" s="28"/>
      <c r="D62" s="232" t="s">
        <v>3689</v>
      </c>
      <c r="E62" s="232"/>
      <c r="F62" s="232"/>
      <c r="G62" s="232"/>
      <c r="H62" s="232"/>
      <c r="I62" s="232"/>
      <c r="J62" s="232"/>
      <c r="K62" s="232"/>
      <c r="L62" s="232"/>
      <c r="M62" s="232"/>
      <c r="N62" s="232"/>
      <c r="O62" s="232"/>
      <c r="P62" s="232"/>
      <c r="Q62" s="232"/>
      <c r="R62" s="232"/>
      <c r="S62" s="232"/>
      <c r="T62" s="232"/>
      <c r="U62" s="232"/>
      <c r="V62" s="232"/>
      <c r="W62" s="232"/>
      <c r="X62" s="232"/>
      <c r="Y62" s="232"/>
      <c r="Z62" s="232"/>
      <c r="AA62" s="232"/>
      <c r="AB62" s="232"/>
      <c r="AC62" s="232"/>
      <c r="AD62" s="232"/>
      <c r="AE62" s="232"/>
      <c r="AF62" s="232"/>
      <c r="AG62" s="232"/>
      <c r="AH62" s="232"/>
      <c r="AI62" s="232"/>
      <c r="AJ62" s="232"/>
      <c r="AK62" s="232"/>
    </row>
    <row r="63" spans="1:46" s="18" customFormat="1" ht="16.5" x14ac:dyDescent="0.1">
      <c r="A63" s="28"/>
      <c r="B63" s="28"/>
      <c r="C63" s="28"/>
      <c r="D63" s="50"/>
      <c r="E63" s="50"/>
      <c r="F63" s="50"/>
      <c r="G63" s="50"/>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row>
    <row r="64" spans="1:46" s="18" customFormat="1" ht="30" customHeight="1" x14ac:dyDescent="0.1">
      <c r="A64" s="28"/>
      <c r="B64" s="28"/>
      <c r="C64" s="48"/>
      <c r="D64" s="233" t="s">
        <v>26</v>
      </c>
      <c r="E64" s="233"/>
      <c r="F64" s="233"/>
      <c r="G64" s="233"/>
      <c r="H64" s="233"/>
      <c r="I64" s="233"/>
      <c r="J64" s="233"/>
      <c r="K64" s="233"/>
      <c r="L64" s="233"/>
      <c r="M64" s="233"/>
      <c r="N64" s="233"/>
      <c r="O64" s="233"/>
      <c r="P64" s="233"/>
      <c r="Q64" s="233"/>
      <c r="R64" s="233"/>
      <c r="S64" s="233"/>
      <c r="T64" s="233"/>
      <c r="U64" s="233"/>
      <c r="V64" s="233"/>
      <c r="W64" s="233"/>
      <c r="X64" s="233"/>
      <c r="Y64" s="233"/>
      <c r="Z64" s="233"/>
      <c r="AA64" s="233"/>
      <c r="AB64" s="233"/>
      <c r="AC64" s="233"/>
      <c r="AD64" s="233"/>
      <c r="AE64" s="233"/>
      <c r="AF64" s="233"/>
      <c r="AG64" s="233"/>
      <c r="AH64" s="233"/>
      <c r="AI64" s="233"/>
      <c r="AJ64" s="233"/>
      <c r="AK64" s="233"/>
    </row>
    <row r="65" spans="1:37" s="18" customFormat="1" ht="30" customHeight="1" x14ac:dyDescent="0.1">
      <c r="A65" s="28"/>
      <c r="B65" s="28"/>
      <c r="C65" s="48"/>
      <c r="D65" s="233" t="s">
        <v>27</v>
      </c>
      <c r="E65" s="233"/>
      <c r="F65" s="233"/>
      <c r="G65" s="233"/>
      <c r="H65" s="233"/>
      <c r="I65" s="233"/>
      <c r="J65" s="233"/>
      <c r="K65" s="233"/>
      <c r="L65" s="233"/>
      <c r="M65" s="233"/>
      <c r="N65" s="233"/>
      <c r="O65" s="233"/>
      <c r="P65" s="233"/>
      <c r="Q65" s="233"/>
      <c r="R65" s="233"/>
      <c r="S65" s="233"/>
      <c r="T65" s="233"/>
      <c r="U65" s="233"/>
      <c r="V65" s="233"/>
      <c r="W65" s="233"/>
      <c r="X65" s="233"/>
      <c r="Y65" s="233"/>
      <c r="Z65" s="233"/>
      <c r="AA65" s="233"/>
      <c r="AB65" s="233"/>
      <c r="AC65" s="233"/>
      <c r="AD65" s="233"/>
      <c r="AE65" s="233"/>
      <c r="AF65" s="233"/>
      <c r="AG65" s="233"/>
      <c r="AH65" s="233"/>
      <c r="AI65" s="233"/>
      <c r="AJ65" s="233"/>
      <c r="AK65" s="233"/>
    </row>
    <row r="66" spans="1:37" s="18" customFormat="1" ht="30" customHeight="1" x14ac:dyDescent="0.1">
      <c r="A66" s="28"/>
      <c r="B66" s="28"/>
      <c r="C66" s="48"/>
      <c r="D66" s="233" t="s">
        <v>28</v>
      </c>
      <c r="E66" s="233"/>
      <c r="F66" s="233"/>
      <c r="G66" s="233"/>
      <c r="H66" s="233"/>
      <c r="I66" s="233"/>
      <c r="J66" s="233"/>
      <c r="K66" s="233"/>
      <c r="L66" s="233"/>
      <c r="M66" s="233"/>
      <c r="N66" s="233"/>
      <c r="O66" s="233"/>
      <c r="P66" s="233"/>
      <c r="Q66" s="233"/>
      <c r="R66" s="233"/>
      <c r="S66" s="233"/>
      <c r="T66" s="233"/>
      <c r="U66" s="233"/>
      <c r="V66" s="233"/>
      <c r="W66" s="233"/>
      <c r="X66" s="233"/>
      <c r="Y66" s="233"/>
      <c r="Z66" s="233"/>
      <c r="AA66" s="233"/>
      <c r="AB66" s="233"/>
      <c r="AC66" s="233"/>
      <c r="AD66" s="233"/>
      <c r="AE66" s="233"/>
      <c r="AF66" s="233"/>
      <c r="AG66" s="233"/>
      <c r="AH66" s="233"/>
      <c r="AI66" s="233"/>
      <c r="AJ66" s="233"/>
      <c r="AK66" s="233"/>
    </row>
    <row r="67" spans="1:37" s="18" customFormat="1" ht="30" customHeight="1" x14ac:dyDescent="0.1">
      <c r="A67" s="28"/>
      <c r="B67" s="28"/>
      <c r="C67" s="48"/>
      <c r="D67" s="233" t="s">
        <v>29</v>
      </c>
      <c r="E67" s="233"/>
      <c r="F67" s="233"/>
      <c r="G67" s="233"/>
      <c r="H67" s="233"/>
      <c r="I67" s="233"/>
      <c r="J67" s="233"/>
      <c r="K67" s="233"/>
      <c r="L67" s="233"/>
      <c r="M67" s="233"/>
      <c r="N67" s="233"/>
      <c r="O67" s="233"/>
      <c r="P67" s="233"/>
      <c r="Q67" s="233"/>
      <c r="R67" s="233"/>
      <c r="S67" s="233"/>
      <c r="T67" s="233"/>
      <c r="U67" s="233"/>
      <c r="V67" s="233"/>
      <c r="W67" s="233"/>
      <c r="X67" s="233"/>
      <c r="Y67" s="233"/>
      <c r="Z67" s="233"/>
      <c r="AA67" s="233"/>
      <c r="AB67" s="233"/>
      <c r="AC67" s="233"/>
      <c r="AD67" s="233"/>
      <c r="AE67" s="233"/>
      <c r="AF67" s="233"/>
      <c r="AG67" s="233"/>
      <c r="AH67" s="233"/>
      <c r="AI67" s="233"/>
      <c r="AJ67" s="233"/>
      <c r="AK67" s="233"/>
    </row>
    <row r="68" spans="1:37" s="18" customFormat="1" ht="30" customHeight="1" x14ac:dyDescent="0.1">
      <c r="A68" s="28"/>
      <c r="B68" s="28"/>
      <c r="C68" s="48"/>
      <c r="D68" s="233" t="s">
        <v>30</v>
      </c>
      <c r="E68" s="233"/>
      <c r="F68" s="233"/>
      <c r="G68" s="233"/>
      <c r="H68" s="233"/>
      <c r="I68" s="233"/>
      <c r="J68" s="233"/>
      <c r="K68" s="233"/>
      <c r="L68" s="233"/>
      <c r="M68" s="233"/>
      <c r="N68" s="233"/>
      <c r="O68" s="233"/>
      <c r="P68" s="233"/>
      <c r="Q68" s="233"/>
      <c r="R68" s="233"/>
      <c r="S68" s="233"/>
      <c r="T68" s="233"/>
      <c r="U68" s="233"/>
      <c r="V68" s="233"/>
      <c r="W68" s="233"/>
      <c r="X68" s="233"/>
      <c r="Y68" s="233"/>
      <c r="Z68" s="233"/>
      <c r="AA68" s="233"/>
      <c r="AB68" s="233"/>
      <c r="AC68" s="233"/>
      <c r="AD68" s="233"/>
      <c r="AE68" s="233"/>
      <c r="AF68" s="233"/>
      <c r="AG68" s="233"/>
      <c r="AH68" s="233"/>
      <c r="AI68" s="233"/>
      <c r="AJ68" s="233"/>
      <c r="AK68" s="233"/>
    </row>
    <row r="69" spans="1:37" s="18" customFormat="1" ht="30" customHeight="1" x14ac:dyDescent="0.1">
      <c r="A69" s="28"/>
      <c r="B69" s="28"/>
      <c r="C69" s="48"/>
      <c r="D69" s="233" t="s">
        <v>31</v>
      </c>
      <c r="E69" s="233"/>
      <c r="F69" s="233"/>
      <c r="G69" s="233"/>
      <c r="H69" s="233"/>
      <c r="I69" s="233"/>
      <c r="J69" s="233"/>
      <c r="K69" s="233"/>
      <c r="L69" s="233"/>
      <c r="M69" s="233"/>
      <c r="N69" s="233"/>
      <c r="O69" s="233"/>
      <c r="P69" s="233"/>
      <c r="Q69" s="233"/>
      <c r="R69" s="233"/>
      <c r="S69" s="233"/>
      <c r="T69" s="233"/>
      <c r="U69" s="233"/>
      <c r="V69" s="233"/>
      <c r="W69" s="233"/>
      <c r="X69" s="233"/>
      <c r="Y69" s="233"/>
      <c r="Z69" s="233"/>
      <c r="AA69" s="233"/>
      <c r="AB69" s="233"/>
      <c r="AC69" s="233"/>
      <c r="AD69" s="233"/>
      <c r="AE69" s="233"/>
      <c r="AF69" s="233"/>
      <c r="AG69" s="233"/>
      <c r="AH69" s="233"/>
      <c r="AI69" s="233"/>
      <c r="AJ69" s="233"/>
      <c r="AK69" s="233"/>
    </row>
    <row r="70" spans="1:37" s="18" customFormat="1" ht="30" customHeight="1" x14ac:dyDescent="0.1">
      <c r="A70" s="28"/>
      <c r="B70" s="28"/>
      <c r="C70" s="48"/>
      <c r="D70" s="233" t="s">
        <v>32</v>
      </c>
      <c r="E70" s="233"/>
      <c r="F70" s="233"/>
      <c r="G70" s="233"/>
      <c r="H70" s="233"/>
      <c r="I70" s="233"/>
      <c r="J70" s="233"/>
      <c r="K70" s="233"/>
      <c r="L70" s="233"/>
      <c r="M70" s="233"/>
      <c r="N70" s="233"/>
      <c r="O70" s="233"/>
      <c r="P70" s="233"/>
      <c r="Q70" s="233"/>
      <c r="R70" s="233"/>
      <c r="S70" s="233"/>
      <c r="T70" s="233"/>
      <c r="U70" s="233"/>
      <c r="V70" s="233"/>
      <c r="W70" s="233"/>
      <c r="X70" s="233"/>
      <c r="Y70" s="233"/>
      <c r="Z70" s="233"/>
      <c r="AA70" s="233"/>
      <c r="AB70" s="233"/>
      <c r="AC70" s="233"/>
      <c r="AD70" s="233"/>
      <c r="AE70" s="233"/>
      <c r="AF70" s="233"/>
      <c r="AG70" s="233"/>
      <c r="AH70" s="233"/>
      <c r="AI70" s="233"/>
      <c r="AJ70" s="233"/>
      <c r="AK70" s="233"/>
    </row>
    <row r="71" spans="1:37" s="18" customFormat="1" ht="30" customHeight="1" x14ac:dyDescent="0.1">
      <c r="A71" s="28"/>
      <c r="B71" s="28"/>
      <c r="C71" s="48"/>
      <c r="D71" s="233" t="s">
        <v>33</v>
      </c>
      <c r="E71" s="233"/>
      <c r="F71" s="233"/>
      <c r="G71" s="233"/>
      <c r="H71" s="233"/>
      <c r="I71" s="233"/>
      <c r="J71" s="233"/>
      <c r="K71" s="233"/>
      <c r="L71" s="233"/>
      <c r="M71" s="233"/>
      <c r="N71" s="233"/>
      <c r="O71" s="233"/>
      <c r="P71" s="233"/>
      <c r="Q71" s="233"/>
      <c r="R71" s="233"/>
      <c r="S71" s="233"/>
      <c r="T71" s="233"/>
      <c r="U71" s="233"/>
      <c r="V71" s="233"/>
      <c r="W71" s="233"/>
      <c r="X71" s="233"/>
      <c r="Y71" s="233"/>
      <c r="Z71" s="233"/>
      <c r="AA71" s="233"/>
      <c r="AB71" s="233"/>
      <c r="AC71" s="233"/>
      <c r="AD71" s="233"/>
      <c r="AE71" s="233"/>
      <c r="AF71" s="233"/>
      <c r="AG71" s="233"/>
      <c r="AH71" s="233"/>
      <c r="AI71" s="233"/>
      <c r="AJ71" s="233"/>
      <c r="AK71" s="233"/>
    </row>
    <row r="72" spans="1:37" s="18" customFormat="1" ht="30" customHeight="1" x14ac:dyDescent="0.1">
      <c r="A72" s="28"/>
      <c r="B72" s="28"/>
      <c r="C72" s="48"/>
      <c r="D72" s="233" t="s">
        <v>34</v>
      </c>
      <c r="E72" s="233"/>
      <c r="F72" s="233"/>
      <c r="G72" s="233"/>
      <c r="H72" s="233"/>
      <c r="I72" s="233"/>
      <c r="J72" s="233"/>
      <c r="K72" s="233"/>
      <c r="L72" s="233"/>
      <c r="M72" s="233"/>
      <c r="N72" s="233"/>
      <c r="O72" s="233"/>
      <c r="P72" s="233"/>
      <c r="Q72" s="233"/>
      <c r="R72" s="233"/>
      <c r="S72" s="233"/>
      <c r="T72" s="233"/>
      <c r="U72" s="233"/>
      <c r="V72" s="233"/>
      <c r="W72" s="233"/>
      <c r="X72" s="233"/>
      <c r="Y72" s="233"/>
      <c r="Z72" s="233"/>
      <c r="AA72" s="233"/>
      <c r="AB72" s="233"/>
      <c r="AC72" s="233"/>
      <c r="AD72" s="233"/>
      <c r="AE72" s="233"/>
      <c r="AF72" s="233"/>
      <c r="AG72" s="233"/>
      <c r="AH72" s="233"/>
      <c r="AI72" s="233"/>
      <c r="AJ72" s="233"/>
      <c r="AK72" s="233"/>
    </row>
    <row r="73" spans="1:37" s="18" customFormat="1" ht="30" customHeight="1" x14ac:dyDescent="0.1">
      <c r="A73" s="28"/>
      <c r="B73" s="28"/>
      <c r="C73" s="48"/>
      <c r="D73" s="233" t="s">
        <v>35</v>
      </c>
      <c r="E73" s="233"/>
      <c r="F73" s="233"/>
      <c r="G73" s="233"/>
      <c r="H73" s="233"/>
      <c r="I73" s="233"/>
      <c r="J73" s="233"/>
      <c r="K73" s="233"/>
      <c r="L73" s="233"/>
      <c r="M73" s="233"/>
      <c r="N73" s="233"/>
      <c r="O73" s="233"/>
      <c r="P73" s="233"/>
      <c r="Q73" s="233"/>
      <c r="R73" s="233"/>
      <c r="S73" s="233"/>
      <c r="T73" s="233"/>
      <c r="U73" s="233"/>
      <c r="V73" s="233"/>
      <c r="W73" s="233"/>
      <c r="X73" s="233"/>
      <c r="Y73" s="233"/>
      <c r="Z73" s="233"/>
      <c r="AA73" s="233"/>
      <c r="AB73" s="233"/>
      <c r="AC73" s="233"/>
      <c r="AD73" s="233"/>
      <c r="AE73" s="233"/>
      <c r="AF73" s="233"/>
      <c r="AG73" s="233"/>
      <c r="AH73" s="233"/>
      <c r="AI73" s="233"/>
      <c r="AJ73" s="233"/>
      <c r="AK73" s="233"/>
    </row>
    <row r="74" spans="1:37" s="18" customFormat="1" ht="30" customHeight="1" x14ac:dyDescent="0.1">
      <c r="A74" s="28"/>
      <c r="B74" s="28"/>
      <c r="C74" s="48"/>
      <c r="D74" s="233" t="s">
        <v>36</v>
      </c>
      <c r="E74" s="233"/>
      <c r="F74" s="233"/>
      <c r="G74" s="233"/>
      <c r="H74" s="233"/>
      <c r="I74" s="236"/>
      <c r="J74" s="236"/>
      <c r="K74" s="236"/>
      <c r="L74" s="236"/>
      <c r="M74" s="236"/>
      <c r="N74" s="236"/>
      <c r="O74" s="236"/>
      <c r="P74" s="236"/>
      <c r="Q74" s="236"/>
      <c r="R74" s="236"/>
      <c r="S74" s="236"/>
      <c r="T74" s="236"/>
      <c r="U74" s="236"/>
      <c r="V74" s="236"/>
      <c r="W74" s="236"/>
      <c r="X74" s="236"/>
      <c r="Y74" s="236"/>
      <c r="Z74" s="236"/>
      <c r="AA74" s="236"/>
      <c r="AB74" s="236"/>
      <c r="AC74" s="236"/>
      <c r="AD74" s="236"/>
      <c r="AE74" s="236"/>
      <c r="AF74" s="236"/>
      <c r="AG74" s="236"/>
      <c r="AH74" s="236"/>
      <c r="AI74" s="236"/>
      <c r="AJ74" s="236"/>
      <c r="AK74" s="236"/>
    </row>
    <row r="75" spans="1:37" s="18" customFormat="1" ht="45.75" customHeight="1" x14ac:dyDescent="0.1">
      <c r="A75" s="28"/>
      <c r="B75" s="28"/>
      <c r="C75" s="51"/>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row>
    <row r="76" spans="1:37" s="18" customFormat="1" ht="18" customHeight="1" x14ac:dyDescent="0.1">
      <c r="B76" s="237"/>
      <c r="C76" s="239"/>
      <c r="D76" s="181" t="s">
        <v>3690</v>
      </c>
      <c r="E76" s="210"/>
      <c r="F76" s="210"/>
      <c r="G76" s="210"/>
      <c r="H76" s="210"/>
      <c r="I76" s="210"/>
      <c r="J76" s="210"/>
      <c r="K76" s="210"/>
      <c r="L76" s="210"/>
      <c r="M76" s="210"/>
      <c r="N76" s="210"/>
      <c r="O76" s="210"/>
      <c r="P76" s="210"/>
      <c r="Q76" s="210"/>
      <c r="R76" s="210"/>
      <c r="S76" s="210"/>
      <c r="T76" s="210"/>
      <c r="U76" s="210"/>
      <c r="V76" s="210"/>
      <c r="W76" s="210"/>
      <c r="X76" s="210"/>
      <c r="Y76" s="210"/>
      <c r="Z76" s="210"/>
      <c r="AA76" s="210"/>
      <c r="AB76" s="210"/>
      <c r="AC76" s="210"/>
      <c r="AD76" s="210"/>
      <c r="AE76" s="210"/>
      <c r="AF76" s="210"/>
      <c r="AG76" s="210"/>
      <c r="AH76" s="210"/>
      <c r="AI76" s="210"/>
      <c r="AJ76" s="210"/>
      <c r="AK76" s="210"/>
    </row>
    <row r="77" spans="1:37" s="18" customFormat="1" ht="17.649999999999999" customHeight="1" x14ac:dyDescent="0.1">
      <c r="B77" s="238"/>
      <c r="C77" s="240"/>
      <c r="D77" s="210"/>
      <c r="E77" s="210"/>
      <c r="F77" s="210"/>
      <c r="G77" s="210"/>
      <c r="H77" s="210"/>
      <c r="I77" s="210"/>
      <c r="J77" s="210"/>
      <c r="K77" s="210"/>
      <c r="L77" s="210"/>
      <c r="M77" s="210"/>
      <c r="N77" s="210"/>
      <c r="O77" s="210"/>
      <c r="P77" s="210"/>
      <c r="Q77" s="210"/>
      <c r="R77" s="210"/>
      <c r="S77" s="210"/>
      <c r="T77" s="210"/>
      <c r="U77" s="210"/>
      <c r="V77" s="210"/>
      <c r="W77" s="210"/>
      <c r="X77" s="210"/>
      <c r="Y77" s="210"/>
      <c r="Z77" s="210"/>
      <c r="AA77" s="210"/>
      <c r="AB77" s="210"/>
      <c r="AC77" s="210"/>
      <c r="AD77" s="210"/>
      <c r="AE77" s="210"/>
      <c r="AF77" s="210"/>
      <c r="AG77" s="210"/>
      <c r="AH77" s="210"/>
      <c r="AI77" s="210"/>
      <c r="AJ77" s="210"/>
      <c r="AK77" s="210"/>
    </row>
    <row r="78" spans="1:37" s="18" customFormat="1" ht="19.350000000000001" customHeight="1" x14ac:dyDescent="0.1">
      <c r="B78" s="238"/>
      <c r="C78" s="240"/>
      <c r="D78" s="210"/>
      <c r="E78" s="210"/>
      <c r="F78" s="210"/>
      <c r="G78" s="210"/>
      <c r="H78" s="210"/>
      <c r="I78" s="210"/>
      <c r="J78" s="210"/>
      <c r="K78" s="210"/>
      <c r="L78" s="210"/>
      <c r="M78" s="210"/>
      <c r="N78" s="210"/>
      <c r="O78" s="210"/>
      <c r="P78" s="210"/>
      <c r="Q78" s="210"/>
      <c r="R78" s="210"/>
      <c r="S78" s="210"/>
      <c r="T78" s="210"/>
      <c r="U78" s="210"/>
      <c r="V78" s="210"/>
      <c r="W78" s="210"/>
      <c r="X78" s="210"/>
      <c r="Y78" s="210"/>
      <c r="Z78" s="210"/>
      <c r="AA78" s="210"/>
      <c r="AB78" s="210"/>
      <c r="AC78" s="210"/>
      <c r="AD78" s="210"/>
      <c r="AE78" s="210"/>
      <c r="AF78" s="210"/>
      <c r="AG78" s="210"/>
      <c r="AH78" s="210"/>
      <c r="AI78" s="210"/>
      <c r="AJ78" s="210"/>
      <c r="AK78" s="210"/>
    </row>
    <row r="79" spans="1:37" s="18" customFormat="1" ht="30" customHeight="1" x14ac:dyDescent="0.1">
      <c r="C79" s="48"/>
      <c r="D79" s="210" t="s">
        <v>3691</v>
      </c>
      <c r="E79" s="210"/>
      <c r="F79" s="210"/>
      <c r="G79" s="210"/>
      <c r="H79" s="210"/>
      <c r="I79" s="210"/>
      <c r="J79" s="210"/>
      <c r="K79" s="210"/>
      <c r="L79" s="210"/>
      <c r="M79" s="210"/>
      <c r="N79" s="210"/>
      <c r="O79" s="210"/>
      <c r="P79" s="210"/>
      <c r="Q79" s="210"/>
      <c r="R79" s="210"/>
      <c r="S79" s="210"/>
      <c r="T79" s="210"/>
      <c r="U79" s="210"/>
      <c r="V79" s="210"/>
      <c r="W79" s="210"/>
      <c r="X79" s="210"/>
      <c r="Y79" s="210"/>
      <c r="Z79" s="210"/>
      <c r="AA79" s="210"/>
      <c r="AB79" s="210"/>
      <c r="AC79" s="210"/>
      <c r="AD79" s="210"/>
      <c r="AE79" s="210"/>
      <c r="AF79" s="210"/>
      <c r="AG79" s="210"/>
      <c r="AH79" s="210"/>
      <c r="AI79" s="210"/>
      <c r="AJ79" s="210"/>
      <c r="AK79" s="210"/>
    </row>
    <row r="80" spans="1:37" s="18" customFormat="1" ht="30" customHeight="1" x14ac:dyDescent="0.1">
      <c r="C80" s="48"/>
      <c r="D80" s="210" t="s">
        <v>3692</v>
      </c>
      <c r="E80" s="210"/>
      <c r="F80" s="210"/>
      <c r="G80" s="210"/>
      <c r="H80" s="210"/>
      <c r="I80" s="210"/>
      <c r="J80" s="210"/>
      <c r="K80" s="210"/>
      <c r="L80" s="210"/>
      <c r="M80" s="210"/>
      <c r="N80" s="210"/>
      <c r="O80" s="210"/>
      <c r="P80" s="210"/>
      <c r="Q80" s="210"/>
      <c r="R80" s="210"/>
      <c r="S80" s="210"/>
      <c r="T80" s="210"/>
      <c r="U80" s="210"/>
      <c r="V80" s="210"/>
      <c r="W80" s="210"/>
      <c r="X80" s="210"/>
      <c r="Y80" s="210"/>
      <c r="Z80" s="210"/>
      <c r="AA80" s="210"/>
      <c r="AB80" s="210"/>
      <c r="AC80" s="210"/>
      <c r="AD80" s="210"/>
      <c r="AE80" s="210"/>
      <c r="AF80" s="210"/>
      <c r="AG80" s="210"/>
      <c r="AH80" s="210"/>
      <c r="AI80" s="210"/>
      <c r="AJ80" s="210"/>
      <c r="AK80" s="210"/>
    </row>
    <row r="81" spans="3:37" s="18" customFormat="1" ht="45.75" customHeight="1" x14ac:dyDescent="0.1">
      <c r="C81" s="28"/>
      <c r="D81" s="53"/>
      <c r="E81" s="53"/>
      <c r="F81" s="53"/>
      <c r="G81" s="5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row>
    <row r="82" spans="3:37" s="18" customFormat="1" ht="79.150000000000006" customHeight="1" x14ac:dyDescent="0.1">
      <c r="C82" s="28"/>
      <c r="D82" s="181" t="s">
        <v>3693</v>
      </c>
      <c r="E82" s="181"/>
      <c r="F82" s="181"/>
      <c r="G82" s="181"/>
      <c r="H82" s="181"/>
      <c r="I82" s="181"/>
      <c r="J82" s="181"/>
      <c r="K82" s="181"/>
      <c r="L82" s="181"/>
      <c r="M82" s="181"/>
      <c r="N82" s="181"/>
      <c r="O82" s="181"/>
      <c r="P82" s="181"/>
      <c r="Q82" s="181"/>
      <c r="R82" s="181"/>
      <c r="S82" s="181"/>
      <c r="T82" s="181"/>
      <c r="U82" s="181"/>
      <c r="V82" s="181"/>
      <c r="W82" s="181"/>
      <c r="X82" s="181"/>
      <c r="Y82" s="181"/>
      <c r="Z82" s="181"/>
      <c r="AA82" s="181"/>
      <c r="AB82" s="181"/>
      <c r="AC82" s="181"/>
      <c r="AD82" s="181"/>
      <c r="AE82" s="181"/>
      <c r="AF82" s="181"/>
      <c r="AG82" s="181"/>
      <c r="AH82" s="181"/>
      <c r="AI82" s="181"/>
      <c r="AJ82" s="181"/>
      <c r="AK82" s="181"/>
    </row>
    <row r="83" spans="3:37" s="18" customFormat="1" ht="79.150000000000006" customHeight="1" x14ac:dyDescent="0.1">
      <c r="C83" s="28"/>
      <c r="D83" s="181" t="s">
        <v>3694</v>
      </c>
      <c r="E83" s="210"/>
      <c r="F83" s="210"/>
      <c r="G83" s="210"/>
      <c r="H83" s="210"/>
      <c r="I83" s="210"/>
      <c r="J83" s="210"/>
      <c r="K83" s="210"/>
      <c r="L83" s="210"/>
      <c r="M83" s="210"/>
      <c r="N83" s="210"/>
      <c r="O83" s="210"/>
      <c r="P83" s="210"/>
      <c r="Q83" s="210"/>
      <c r="R83" s="210"/>
      <c r="S83" s="210"/>
      <c r="T83" s="210"/>
      <c r="U83" s="210"/>
      <c r="V83" s="210"/>
      <c r="W83" s="210"/>
      <c r="X83" s="210"/>
      <c r="Y83" s="210"/>
      <c r="Z83" s="210"/>
      <c r="AA83" s="210"/>
      <c r="AB83" s="210"/>
      <c r="AC83" s="210"/>
      <c r="AD83" s="210"/>
      <c r="AE83" s="210"/>
      <c r="AF83" s="210"/>
      <c r="AG83" s="210"/>
      <c r="AH83" s="210"/>
      <c r="AI83" s="210"/>
      <c r="AJ83" s="210"/>
      <c r="AK83" s="210"/>
    </row>
    <row r="84" spans="3:37" s="18" customFormat="1" ht="24.6" customHeight="1" x14ac:dyDescent="0.1">
      <c r="C84" s="28"/>
      <c r="D84" s="40"/>
      <c r="E84" s="40"/>
      <c r="F84" s="40"/>
      <c r="G84" s="40"/>
    </row>
    <row r="85" spans="3:37" s="18" customFormat="1" ht="30" customHeight="1" x14ac:dyDescent="0.1">
      <c r="C85" s="54" t="s">
        <v>37</v>
      </c>
      <c r="D85" s="243" t="s">
        <v>38</v>
      </c>
      <c r="E85" s="243"/>
      <c r="F85" s="243"/>
      <c r="G85" s="235"/>
      <c r="H85" s="235"/>
      <c r="I85" s="235"/>
      <c r="J85" s="235"/>
      <c r="K85" s="235"/>
      <c r="L85" s="235"/>
      <c r="M85" s="235"/>
      <c r="N85" s="235"/>
      <c r="O85" s="235"/>
      <c r="P85" s="235"/>
      <c r="Q85" s="235"/>
      <c r="R85" s="235"/>
      <c r="S85" s="235"/>
      <c r="T85" s="235"/>
      <c r="U85" s="235"/>
      <c r="V85" s="235"/>
      <c r="W85" s="235"/>
      <c r="X85" s="235"/>
      <c r="Y85" s="235"/>
      <c r="Z85" s="235"/>
      <c r="AA85" s="235"/>
      <c r="AB85" s="235"/>
      <c r="AC85" s="235"/>
      <c r="AD85" s="235"/>
      <c r="AE85" s="235"/>
      <c r="AF85" s="235"/>
      <c r="AG85" s="235"/>
      <c r="AH85" s="235"/>
      <c r="AI85" s="235"/>
      <c r="AJ85" s="235"/>
      <c r="AK85" s="235"/>
    </row>
    <row r="86" spans="3:37" s="18" customFormat="1" ht="46.5" customHeight="1" x14ac:dyDescent="0.1">
      <c r="C86" s="55"/>
      <c r="D86" s="241" t="s">
        <v>3681</v>
      </c>
      <c r="E86" s="242"/>
      <c r="F86" s="242"/>
      <c r="G86" s="235"/>
      <c r="H86" s="235"/>
      <c r="I86" s="235"/>
      <c r="J86" s="235"/>
      <c r="K86" s="235"/>
      <c r="L86" s="235"/>
      <c r="M86" s="235"/>
      <c r="N86" s="235"/>
      <c r="O86" s="235"/>
      <c r="P86" s="235"/>
      <c r="Q86" s="235"/>
      <c r="R86" s="235"/>
      <c r="S86" s="235"/>
      <c r="T86" s="235"/>
      <c r="U86" s="235"/>
      <c r="V86" s="235"/>
      <c r="W86" s="235"/>
      <c r="X86" s="235"/>
      <c r="Y86" s="235"/>
      <c r="Z86" s="235"/>
      <c r="AA86" s="235"/>
      <c r="AB86" s="235"/>
      <c r="AC86" s="235"/>
      <c r="AD86" s="235"/>
      <c r="AE86" s="235"/>
      <c r="AF86" s="235"/>
      <c r="AG86" s="235"/>
      <c r="AH86" s="235"/>
      <c r="AI86" s="235"/>
      <c r="AJ86" s="235"/>
      <c r="AK86" s="235"/>
    </row>
    <row r="87" spans="3:37" s="18" customFormat="1" ht="21" customHeight="1" x14ac:dyDescent="0.1">
      <c r="C87" s="55"/>
      <c r="D87" s="35" t="s">
        <v>3695</v>
      </c>
      <c r="E87" s="23"/>
      <c r="F87" s="53"/>
      <c r="G87" s="56"/>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row>
    <row r="88" spans="3:37" s="18" customFormat="1" ht="30" customHeight="1" x14ac:dyDescent="0.1">
      <c r="C88" s="55"/>
      <c r="D88" s="243" t="s">
        <v>39</v>
      </c>
      <c r="E88" s="243"/>
      <c r="F88" s="243"/>
      <c r="G88" s="244"/>
      <c r="H88" s="244"/>
      <c r="I88" s="244"/>
      <c r="J88" s="244"/>
      <c r="K88" s="244"/>
      <c r="L88" s="244"/>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row>
    <row r="89" spans="3:37" s="18" customFormat="1" ht="36.6" customHeight="1" x14ac:dyDescent="0.1">
      <c r="C89" s="55"/>
      <c r="D89" s="245" t="s">
        <v>40</v>
      </c>
      <c r="E89" s="245"/>
      <c r="F89" s="245"/>
      <c r="G89" s="245"/>
      <c r="J89" s="246"/>
      <c r="K89" s="246"/>
      <c r="L89" s="246"/>
      <c r="M89" s="246"/>
      <c r="N89" s="246"/>
      <c r="O89" s="246"/>
      <c r="P89" s="246"/>
      <c r="R89" s="247" t="s">
        <v>3696</v>
      </c>
      <c r="S89" s="248"/>
      <c r="T89" s="248"/>
      <c r="U89" s="248"/>
      <c r="V89" s="248"/>
      <c r="W89" s="248"/>
      <c r="Y89" s="246"/>
      <c r="Z89" s="246"/>
      <c r="AA89" s="246"/>
      <c r="AB89" s="246"/>
      <c r="AC89" s="246"/>
      <c r="AD89" s="246"/>
      <c r="AE89" s="246"/>
      <c r="AF89" s="246"/>
    </row>
    <row r="90" spans="3:37" s="18" customFormat="1" ht="24" x14ac:dyDescent="0.1">
      <c r="C90" s="55"/>
      <c r="D90" s="40"/>
      <c r="E90" s="40"/>
      <c r="F90" s="40"/>
      <c r="G90" s="40"/>
    </row>
    <row r="91" spans="3:37" s="18" customFormat="1" ht="24" x14ac:dyDescent="0.1">
      <c r="C91" s="55"/>
      <c r="D91" s="40"/>
      <c r="E91" s="40"/>
      <c r="F91" s="40"/>
      <c r="G91" s="40"/>
    </row>
    <row r="92" spans="3:37" s="18" customFormat="1" ht="30" customHeight="1" x14ac:dyDescent="0.1">
      <c r="C92" s="54" t="s">
        <v>41</v>
      </c>
      <c r="D92" s="243" t="s">
        <v>38</v>
      </c>
      <c r="E92" s="243"/>
      <c r="F92" s="243"/>
      <c r="G92" s="235"/>
      <c r="H92" s="235"/>
      <c r="I92" s="235"/>
      <c r="J92" s="235"/>
      <c r="K92" s="235"/>
      <c r="L92" s="235"/>
      <c r="M92" s="235"/>
      <c r="N92" s="235"/>
      <c r="O92" s="235"/>
      <c r="P92" s="235"/>
      <c r="Q92" s="235"/>
      <c r="R92" s="235"/>
      <c r="S92" s="235"/>
      <c r="T92" s="235"/>
      <c r="U92" s="235"/>
      <c r="V92" s="235"/>
      <c r="W92" s="235"/>
      <c r="X92" s="235"/>
      <c r="Y92" s="235"/>
      <c r="Z92" s="235"/>
      <c r="AA92" s="235"/>
      <c r="AB92" s="235"/>
      <c r="AC92" s="235"/>
      <c r="AD92" s="235"/>
      <c r="AE92" s="235"/>
      <c r="AF92" s="235"/>
      <c r="AG92" s="235"/>
      <c r="AH92" s="235"/>
      <c r="AI92" s="235"/>
      <c r="AJ92" s="235"/>
      <c r="AK92" s="235"/>
    </row>
    <row r="93" spans="3:37" s="18" customFormat="1" ht="46.5" customHeight="1" x14ac:dyDescent="0.1">
      <c r="C93" s="55"/>
      <c r="D93" s="241" t="s">
        <v>3681</v>
      </c>
      <c r="E93" s="242"/>
      <c r="F93" s="242"/>
      <c r="G93" s="235"/>
      <c r="H93" s="235"/>
      <c r="I93" s="235"/>
      <c r="J93" s="235"/>
      <c r="K93" s="235"/>
      <c r="L93" s="235"/>
      <c r="M93" s="235"/>
      <c r="N93" s="235"/>
      <c r="O93" s="235"/>
      <c r="P93" s="235"/>
      <c r="Q93" s="235"/>
      <c r="R93" s="235"/>
      <c r="S93" s="235"/>
      <c r="T93" s="235"/>
      <c r="U93" s="235"/>
      <c r="V93" s="235"/>
      <c r="W93" s="235"/>
      <c r="X93" s="235"/>
      <c r="Y93" s="235"/>
      <c r="Z93" s="235"/>
      <c r="AA93" s="235"/>
      <c r="AB93" s="235"/>
      <c r="AC93" s="235"/>
      <c r="AD93" s="235"/>
      <c r="AE93" s="235"/>
      <c r="AF93" s="235"/>
      <c r="AG93" s="235"/>
      <c r="AH93" s="235"/>
      <c r="AI93" s="235"/>
      <c r="AJ93" s="235"/>
      <c r="AK93" s="235"/>
    </row>
    <row r="94" spans="3:37" s="18" customFormat="1" ht="21" customHeight="1" x14ac:dyDescent="0.1">
      <c r="C94" s="55"/>
      <c r="D94" s="35" t="s">
        <v>3695</v>
      </c>
      <c r="E94" s="23"/>
      <c r="F94" s="53"/>
      <c r="G94" s="56"/>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row>
    <row r="95" spans="3:37" s="18" customFormat="1" ht="30.6" customHeight="1" x14ac:dyDescent="0.1">
      <c r="C95" s="55"/>
      <c r="D95" s="243" t="s">
        <v>39</v>
      </c>
      <c r="E95" s="243"/>
      <c r="F95" s="243"/>
      <c r="G95" s="244"/>
      <c r="H95" s="244"/>
      <c r="I95" s="244"/>
      <c r="J95" s="244"/>
      <c r="K95" s="244"/>
      <c r="L95" s="244"/>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row>
    <row r="96" spans="3:37" s="18" customFormat="1" ht="36" customHeight="1" x14ac:dyDescent="0.1">
      <c r="C96" s="55"/>
      <c r="D96" s="245" t="s">
        <v>40</v>
      </c>
      <c r="E96" s="245"/>
      <c r="F96" s="245"/>
      <c r="G96" s="245"/>
      <c r="J96" s="246"/>
      <c r="K96" s="246"/>
      <c r="L96" s="246"/>
      <c r="M96" s="246"/>
      <c r="N96" s="246"/>
      <c r="O96" s="246"/>
      <c r="P96" s="246"/>
      <c r="R96" s="247" t="s">
        <v>3696</v>
      </c>
      <c r="S96" s="248"/>
      <c r="T96" s="248"/>
      <c r="U96" s="248"/>
      <c r="V96" s="248"/>
      <c r="W96" s="248"/>
      <c r="Y96" s="246"/>
      <c r="Z96" s="246"/>
      <c r="AA96" s="246"/>
      <c r="AB96" s="246"/>
      <c r="AC96" s="246"/>
      <c r="AD96" s="246"/>
      <c r="AE96" s="246"/>
      <c r="AF96" s="246"/>
    </row>
    <row r="97" spans="3:37" s="18" customFormat="1" ht="24" x14ac:dyDescent="0.1">
      <c r="C97" s="55"/>
      <c r="D97" s="40"/>
      <c r="E97" s="40"/>
      <c r="F97" s="40"/>
      <c r="G97" s="40"/>
    </row>
    <row r="98" spans="3:37" s="18" customFormat="1" ht="24" x14ac:dyDescent="0.1">
      <c r="C98" s="55"/>
      <c r="D98" s="40"/>
      <c r="E98" s="40"/>
      <c r="F98" s="40"/>
      <c r="G98" s="40"/>
    </row>
    <row r="99" spans="3:37" s="18" customFormat="1" ht="30" customHeight="1" x14ac:dyDescent="0.1">
      <c r="C99" s="54" t="s">
        <v>42</v>
      </c>
      <c r="D99" s="243" t="s">
        <v>38</v>
      </c>
      <c r="E99" s="243"/>
      <c r="F99" s="243"/>
      <c r="G99" s="235"/>
      <c r="H99" s="235"/>
      <c r="I99" s="235"/>
      <c r="J99" s="235"/>
      <c r="K99" s="235"/>
      <c r="L99" s="235"/>
      <c r="M99" s="235"/>
      <c r="N99" s="235"/>
      <c r="O99" s="235"/>
      <c r="P99" s="235"/>
      <c r="Q99" s="235"/>
      <c r="R99" s="235"/>
      <c r="S99" s="235"/>
      <c r="T99" s="235"/>
      <c r="U99" s="235"/>
      <c r="V99" s="235"/>
      <c r="W99" s="235"/>
      <c r="X99" s="235"/>
      <c r="Y99" s="235"/>
      <c r="Z99" s="235"/>
      <c r="AA99" s="235"/>
      <c r="AB99" s="235"/>
      <c r="AC99" s="235"/>
      <c r="AD99" s="235"/>
      <c r="AE99" s="235"/>
      <c r="AF99" s="235"/>
      <c r="AG99" s="235"/>
      <c r="AH99" s="235"/>
      <c r="AI99" s="235"/>
      <c r="AJ99" s="235"/>
      <c r="AK99" s="235"/>
    </row>
    <row r="100" spans="3:37" s="18" customFormat="1" ht="46.5" customHeight="1" x14ac:dyDescent="0.1">
      <c r="C100" s="55"/>
      <c r="D100" s="241" t="s">
        <v>3681</v>
      </c>
      <c r="E100" s="242"/>
      <c r="F100" s="242"/>
      <c r="G100" s="235"/>
      <c r="H100" s="235"/>
      <c r="I100" s="235"/>
      <c r="J100" s="235"/>
      <c r="K100" s="235"/>
      <c r="L100" s="235"/>
      <c r="M100" s="235"/>
      <c r="N100" s="235"/>
      <c r="O100" s="235"/>
      <c r="P100" s="235"/>
      <c r="Q100" s="235"/>
      <c r="R100" s="235"/>
      <c r="S100" s="235"/>
      <c r="T100" s="235"/>
      <c r="U100" s="235"/>
      <c r="V100" s="235"/>
      <c r="W100" s="235"/>
      <c r="X100" s="235"/>
      <c r="Y100" s="235"/>
      <c r="Z100" s="235"/>
      <c r="AA100" s="235"/>
      <c r="AB100" s="235"/>
      <c r="AC100" s="235"/>
      <c r="AD100" s="235"/>
      <c r="AE100" s="235"/>
      <c r="AF100" s="235"/>
      <c r="AG100" s="235"/>
      <c r="AH100" s="235"/>
      <c r="AI100" s="235"/>
      <c r="AJ100" s="235"/>
      <c r="AK100" s="235"/>
    </row>
    <row r="101" spans="3:37" s="18" customFormat="1" ht="21" customHeight="1" x14ac:dyDescent="0.1">
      <c r="C101" s="55"/>
      <c r="D101" s="35" t="s">
        <v>3695</v>
      </c>
      <c r="E101" s="23"/>
      <c r="F101" s="53"/>
      <c r="G101" s="56"/>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row>
    <row r="102" spans="3:37" s="18" customFormat="1" ht="30" customHeight="1" x14ac:dyDescent="0.1">
      <c r="C102" s="55"/>
      <c r="D102" s="243" t="s">
        <v>39</v>
      </c>
      <c r="E102" s="243"/>
      <c r="F102" s="243"/>
      <c r="G102" s="244"/>
      <c r="H102" s="244"/>
      <c r="I102" s="244"/>
      <c r="J102" s="244"/>
      <c r="K102" s="244"/>
      <c r="L102" s="244"/>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row>
    <row r="103" spans="3:37" s="18" customFormat="1" ht="36" customHeight="1" x14ac:dyDescent="0.1">
      <c r="C103" s="55"/>
      <c r="D103" s="245" t="s">
        <v>40</v>
      </c>
      <c r="E103" s="245"/>
      <c r="F103" s="245"/>
      <c r="G103" s="245"/>
      <c r="J103" s="246"/>
      <c r="K103" s="246"/>
      <c r="L103" s="246"/>
      <c r="M103" s="246"/>
      <c r="N103" s="246"/>
      <c r="O103" s="246"/>
      <c r="P103" s="246"/>
      <c r="R103" s="247" t="s">
        <v>3696</v>
      </c>
      <c r="S103" s="248"/>
      <c r="T103" s="248"/>
      <c r="U103" s="248"/>
      <c r="V103" s="248"/>
      <c r="W103" s="248"/>
      <c r="Y103" s="246"/>
      <c r="Z103" s="246"/>
      <c r="AA103" s="246"/>
      <c r="AB103" s="246"/>
      <c r="AC103" s="246"/>
      <c r="AD103" s="246"/>
      <c r="AE103" s="246"/>
      <c r="AF103" s="246"/>
    </row>
    <row r="104" spans="3:37" s="18" customFormat="1" ht="24" x14ac:dyDescent="0.1">
      <c r="C104" s="55"/>
      <c r="D104" s="40"/>
      <c r="E104" s="40"/>
      <c r="F104" s="40"/>
      <c r="G104" s="40"/>
    </row>
    <row r="105" spans="3:37" s="18" customFormat="1" ht="24" x14ac:dyDescent="0.1">
      <c r="C105" s="55"/>
      <c r="D105" s="40"/>
      <c r="E105" s="40"/>
      <c r="F105" s="40"/>
      <c r="G105" s="40"/>
    </row>
    <row r="106" spans="3:37" ht="31.35" customHeight="1" x14ac:dyDescent="0.1">
      <c r="D106" s="249" t="s">
        <v>3657</v>
      </c>
      <c r="E106" s="249"/>
      <c r="F106" s="249"/>
      <c r="G106" s="249"/>
      <c r="H106" s="249"/>
      <c r="I106" s="249"/>
      <c r="J106" s="249"/>
      <c r="K106" s="249"/>
      <c r="L106" s="249"/>
      <c r="M106" s="249"/>
      <c r="N106" s="249"/>
      <c r="O106" s="249"/>
      <c r="P106" s="249"/>
      <c r="Q106" s="249"/>
      <c r="R106" s="249"/>
      <c r="S106" s="249"/>
      <c r="T106" s="249"/>
      <c r="U106" s="249"/>
      <c r="V106" s="249"/>
      <c r="W106" s="249"/>
      <c r="X106" s="249"/>
      <c r="Y106" s="249"/>
      <c r="Z106" s="249"/>
      <c r="AA106" s="249"/>
      <c r="AB106" s="249"/>
      <c r="AC106" s="249"/>
      <c r="AD106" s="249"/>
      <c r="AE106" s="249"/>
      <c r="AF106" s="249"/>
      <c r="AG106" s="249"/>
      <c r="AH106" s="249"/>
      <c r="AI106" s="249"/>
      <c r="AJ106" s="249"/>
      <c r="AK106" s="249"/>
    </row>
    <row r="107" spans="3:37" s="18" customFormat="1" ht="54" customHeight="1" x14ac:dyDescent="0.1">
      <c r="C107" s="28"/>
      <c r="D107" s="181" t="s">
        <v>3697</v>
      </c>
      <c r="E107" s="181"/>
      <c r="F107" s="181"/>
      <c r="G107" s="181"/>
      <c r="H107" s="181"/>
      <c r="I107" s="181"/>
      <c r="J107" s="181"/>
      <c r="K107" s="181"/>
      <c r="L107" s="181"/>
      <c r="M107" s="181"/>
      <c r="N107" s="181"/>
      <c r="O107" s="181"/>
      <c r="P107" s="181"/>
      <c r="Q107" s="181"/>
      <c r="R107" s="181"/>
      <c r="S107" s="181"/>
      <c r="T107" s="181"/>
      <c r="U107" s="181"/>
      <c r="V107" s="181"/>
      <c r="W107" s="181"/>
      <c r="X107" s="181"/>
      <c r="Y107" s="181"/>
      <c r="Z107" s="181"/>
      <c r="AA107" s="181"/>
      <c r="AB107" s="181"/>
      <c r="AC107" s="181"/>
      <c r="AD107" s="181"/>
      <c r="AE107" s="181"/>
      <c r="AF107" s="181"/>
      <c r="AG107" s="181"/>
      <c r="AH107" s="181"/>
      <c r="AI107" s="181"/>
      <c r="AJ107" s="181"/>
      <c r="AK107" s="181"/>
    </row>
    <row r="108" spans="3:37" s="18" customFormat="1" ht="27.6" customHeight="1" x14ac:dyDescent="0.1">
      <c r="C108" s="28"/>
      <c r="D108" s="210" t="s">
        <v>3648</v>
      </c>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c r="AE108" s="210"/>
      <c r="AF108" s="210"/>
      <c r="AG108" s="210"/>
      <c r="AH108" s="210"/>
      <c r="AI108" s="210"/>
      <c r="AJ108" s="210"/>
      <c r="AK108" s="210"/>
    </row>
    <row r="109" spans="3:37" s="18" customFormat="1" ht="16.5" x14ac:dyDescent="0.1">
      <c r="C109" s="28"/>
      <c r="D109" s="40"/>
      <c r="E109" s="40"/>
      <c r="F109" s="40"/>
      <c r="G109" s="40"/>
    </row>
    <row r="110" spans="3:37" s="18" customFormat="1" ht="30" customHeight="1" x14ac:dyDescent="0.1">
      <c r="C110" s="28"/>
      <c r="D110" s="169"/>
      <c r="E110" s="169"/>
      <c r="F110" s="169"/>
      <c r="G110" s="169"/>
      <c r="H110" s="169"/>
      <c r="I110" s="169"/>
      <c r="J110" s="169"/>
      <c r="K110" s="169"/>
      <c r="L110" s="169"/>
      <c r="M110" s="169"/>
      <c r="N110" s="169"/>
      <c r="O110" s="169"/>
      <c r="P110" s="169"/>
      <c r="Q110" s="169"/>
      <c r="R110" s="169"/>
      <c r="S110" s="169"/>
      <c r="T110" s="169" t="s">
        <v>3698</v>
      </c>
      <c r="U110" s="169"/>
      <c r="V110" s="169"/>
      <c r="W110" s="169"/>
      <c r="X110" s="169"/>
      <c r="Y110" s="169"/>
      <c r="Z110" s="169"/>
    </row>
    <row r="111" spans="3:37" s="18" customFormat="1" ht="30.6" customHeight="1" x14ac:dyDescent="0.1">
      <c r="C111" s="28"/>
      <c r="D111" s="250" t="s">
        <v>43</v>
      </c>
      <c r="E111" s="250"/>
      <c r="F111" s="250"/>
      <c r="G111" s="250"/>
      <c r="H111" s="250"/>
      <c r="I111" s="250"/>
      <c r="J111" s="250"/>
      <c r="K111" s="250"/>
      <c r="L111" s="250"/>
      <c r="M111" s="250"/>
      <c r="N111" s="250"/>
      <c r="O111" s="250"/>
      <c r="P111" s="250"/>
      <c r="Q111" s="250"/>
      <c r="R111" s="250"/>
      <c r="S111" s="250"/>
      <c r="T111" s="251"/>
      <c r="U111" s="251"/>
      <c r="V111" s="251"/>
      <c r="W111" s="251"/>
      <c r="X111" s="251"/>
      <c r="Y111" s="251"/>
      <c r="Z111" s="251"/>
    </row>
    <row r="112" spans="3:37" s="18" customFormat="1" ht="30.6" customHeight="1" x14ac:dyDescent="0.1">
      <c r="C112" s="28"/>
      <c r="D112" s="250" t="s">
        <v>44</v>
      </c>
      <c r="E112" s="250"/>
      <c r="F112" s="250"/>
      <c r="G112" s="250"/>
      <c r="H112" s="250"/>
      <c r="I112" s="250"/>
      <c r="J112" s="250"/>
      <c r="K112" s="250"/>
      <c r="L112" s="250"/>
      <c r="M112" s="250"/>
      <c r="N112" s="250"/>
      <c r="O112" s="250"/>
      <c r="P112" s="250"/>
      <c r="Q112" s="250"/>
      <c r="R112" s="250"/>
      <c r="S112" s="250"/>
      <c r="T112" s="251"/>
      <c r="U112" s="251"/>
      <c r="V112" s="251"/>
      <c r="W112" s="251"/>
      <c r="X112" s="251"/>
      <c r="Y112" s="251"/>
      <c r="Z112" s="251"/>
    </row>
    <row r="113" spans="2:38" s="18" customFormat="1" ht="30.6" customHeight="1" x14ac:dyDescent="0.1">
      <c r="C113" s="28"/>
      <c r="D113" s="250" t="s">
        <v>45</v>
      </c>
      <c r="E113" s="250"/>
      <c r="F113" s="250"/>
      <c r="G113" s="250"/>
      <c r="H113" s="250"/>
      <c r="I113" s="250"/>
      <c r="J113" s="250"/>
      <c r="K113" s="250"/>
      <c r="L113" s="250"/>
      <c r="M113" s="250"/>
      <c r="N113" s="250"/>
      <c r="O113" s="250"/>
      <c r="P113" s="250"/>
      <c r="Q113" s="250"/>
      <c r="R113" s="250"/>
      <c r="S113" s="250"/>
      <c r="T113" s="251"/>
      <c r="U113" s="251"/>
      <c r="V113" s="251"/>
      <c r="W113" s="251"/>
      <c r="X113" s="251"/>
      <c r="Y113" s="251"/>
      <c r="Z113" s="251"/>
    </row>
    <row r="114" spans="2:38" s="18" customFormat="1" ht="30.6" customHeight="1" x14ac:dyDescent="0.1">
      <c r="C114" s="28"/>
      <c r="D114" s="250" t="s">
        <v>46</v>
      </c>
      <c r="E114" s="250"/>
      <c r="F114" s="250"/>
      <c r="G114" s="250"/>
      <c r="H114" s="250"/>
      <c r="I114" s="250"/>
      <c r="J114" s="250"/>
      <c r="K114" s="250"/>
      <c r="L114" s="250"/>
      <c r="M114" s="250"/>
      <c r="N114" s="250"/>
      <c r="O114" s="250"/>
      <c r="P114" s="250"/>
      <c r="Q114" s="250"/>
      <c r="R114" s="250"/>
      <c r="S114" s="250"/>
      <c r="T114" s="251"/>
      <c r="U114" s="251"/>
      <c r="V114" s="251"/>
      <c r="W114" s="251"/>
      <c r="X114" s="251"/>
      <c r="Y114" s="251"/>
      <c r="Z114" s="251"/>
    </row>
    <row r="115" spans="2:38" s="18" customFormat="1" ht="30.6" customHeight="1" x14ac:dyDescent="0.1">
      <c r="C115" s="28"/>
      <c r="D115" s="250" t="s">
        <v>47</v>
      </c>
      <c r="E115" s="250"/>
      <c r="F115" s="250"/>
      <c r="G115" s="250"/>
      <c r="H115" s="250"/>
      <c r="I115" s="250"/>
      <c r="J115" s="250"/>
      <c r="K115" s="250"/>
      <c r="L115" s="250"/>
      <c r="M115" s="250"/>
      <c r="N115" s="250"/>
      <c r="O115" s="250"/>
      <c r="P115" s="250"/>
      <c r="Q115" s="250"/>
      <c r="R115" s="250"/>
      <c r="S115" s="250"/>
      <c r="T115" s="251"/>
      <c r="U115" s="251"/>
      <c r="V115" s="251"/>
      <c r="W115" s="251"/>
      <c r="X115" s="251"/>
      <c r="Y115" s="251"/>
      <c r="Z115" s="251"/>
    </row>
    <row r="116" spans="2:38" s="18" customFormat="1" ht="30.6" customHeight="1" x14ac:dyDescent="0.1">
      <c r="C116" s="28"/>
      <c r="D116" s="250" t="s">
        <v>48</v>
      </c>
      <c r="E116" s="250"/>
      <c r="F116" s="250"/>
      <c r="G116" s="250"/>
      <c r="H116" s="250"/>
      <c r="I116" s="250"/>
      <c r="J116" s="250"/>
      <c r="K116" s="250"/>
      <c r="L116" s="250"/>
      <c r="M116" s="250"/>
      <c r="N116" s="250"/>
      <c r="O116" s="250"/>
      <c r="P116" s="250"/>
      <c r="Q116" s="250"/>
      <c r="R116" s="250"/>
      <c r="S116" s="250"/>
      <c r="T116" s="251"/>
      <c r="U116" s="251"/>
      <c r="V116" s="251"/>
      <c r="W116" s="251"/>
      <c r="X116" s="251"/>
      <c r="Y116" s="251"/>
      <c r="Z116" s="251"/>
    </row>
    <row r="117" spans="2:38" s="18" customFormat="1" ht="30.6" customHeight="1" x14ac:dyDescent="0.1">
      <c r="C117" s="28"/>
      <c r="D117" s="250" t="s">
        <v>49</v>
      </c>
      <c r="E117" s="250"/>
      <c r="F117" s="250"/>
      <c r="G117" s="250"/>
      <c r="H117" s="250"/>
      <c r="I117" s="250"/>
      <c r="J117" s="250"/>
      <c r="K117" s="250"/>
      <c r="L117" s="250"/>
      <c r="M117" s="250"/>
      <c r="N117" s="250"/>
      <c r="O117" s="250"/>
      <c r="P117" s="250"/>
      <c r="Q117" s="250"/>
      <c r="R117" s="250"/>
      <c r="S117" s="250"/>
      <c r="T117" s="251"/>
      <c r="U117" s="251"/>
      <c r="V117" s="251"/>
      <c r="W117" s="251"/>
      <c r="X117" s="251"/>
      <c r="Y117" s="251"/>
      <c r="Z117" s="251"/>
    </row>
    <row r="118" spans="2:38" s="18" customFormat="1" ht="30.6" customHeight="1" x14ac:dyDescent="0.1">
      <c r="C118" s="28"/>
      <c r="D118" s="250" t="s">
        <v>50</v>
      </c>
      <c r="E118" s="250"/>
      <c r="F118" s="250"/>
      <c r="G118" s="250"/>
      <c r="H118" s="250"/>
      <c r="I118" s="250"/>
      <c r="J118" s="250"/>
      <c r="K118" s="250"/>
      <c r="L118" s="250"/>
      <c r="M118" s="250"/>
      <c r="N118" s="250"/>
      <c r="O118" s="250"/>
      <c r="P118" s="250"/>
      <c r="Q118" s="250"/>
      <c r="R118" s="250"/>
      <c r="S118" s="250"/>
      <c r="T118" s="251"/>
      <c r="U118" s="251"/>
      <c r="V118" s="251"/>
      <c r="W118" s="251"/>
      <c r="X118" s="251"/>
      <c r="Y118" s="251"/>
      <c r="Z118" s="251"/>
    </row>
    <row r="119" spans="2:38" s="18" customFormat="1" ht="30.6" customHeight="1" x14ac:dyDescent="0.1">
      <c r="C119" s="28"/>
      <c r="D119" s="250" t="s">
        <v>51</v>
      </c>
      <c r="E119" s="250"/>
      <c r="F119" s="250"/>
      <c r="G119" s="250"/>
      <c r="H119" s="250"/>
      <c r="I119" s="250"/>
      <c r="J119" s="250"/>
      <c r="K119" s="250"/>
      <c r="L119" s="250"/>
      <c r="M119" s="250"/>
      <c r="N119" s="250"/>
      <c r="O119" s="250"/>
      <c r="P119" s="250"/>
      <c r="Q119" s="250"/>
      <c r="R119" s="250"/>
      <c r="S119" s="250"/>
      <c r="T119" s="251"/>
      <c r="U119" s="251"/>
      <c r="V119" s="251"/>
      <c r="W119" s="251"/>
      <c r="X119" s="251"/>
      <c r="Y119" s="251"/>
      <c r="Z119" s="251"/>
    </row>
    <row r="120" spans="2:38" s="18" customFormat="1" ht="30.6" customHeight="1" x14ac:dyDescent="0.1">
      <c r="C120" s="28"/>
      <c r="D120" s="250" t="s">
        <v>52</v>
      </c>
      <c r="E120" s="250"/>
      <c r="F120" s="250"/>
      <c r="G120" s="250"/>
      <c r="H120" s="250"/>
      <c r="I120" s="250"/>
      <c r="J120" s="250"/>
      <c r="K120" s="250"/>
      <c r="L120" s="250"/>
      <c r="M120" s="250"/>
      <c r="N120" s="250"/>
      <c r="O120" s="250"/>
      <c r="P120" s="250"/>
      <c r="Q120" s="250"/>
      <c r="R120" s="250"/>
      <c r="S120" s="250"/>
      <c r="T120" s="251"/>
      <c r="U120" s="251"/>
      <c r="V120" s="251"/>
      <c r="W120" s="251"/>
      <c r="X120" s="251"/>
      <c r="Y120" s="251"/>
      <c r="Z120" s="251"/>
    </row>
    <row r="121" spans="2:38" s="18" customFormat="1" ht="30.6" customHeight="1" x14ac:dyDescent="0.1">
      <c r="C121" s="28"/>
      <c r="D121" s="252" t="s">
        <v>53</v>
      </c>
      <c r="E121" s="253"/>
      <c r="F121" s="253"/>
      <c r="G121" s="253"/>
      <c r="H121" s="254"/>
      <c r="I121" s="255"/>
      <c r="J121" s="256"/>
      <c r="K121" s="256"/>
      <c r="L121" s="256"/>
      <c r="M121" s="256"/>
      <c r="N121" s="256"/>
      <c r="O121" s="256"/>
      <c r="P121" s="256"/>
      <c r="Q121" s="256"/>
      <c r="R121" s="256"/>
      <c r="S121" s="257"/>
      <c r="T121" s="251"/>
      <c r="U121" s="251"/>
      <c r="V121" s="251"/>
      <c r="W121" s="251"/>
      <c r="X121" s="251"/>
      <c r="Y121" s="251"/>
      <c r="Z121" s="251"/>
    </row>
    <row r="122" spans="2:38" s="18" customFormat="1" ht="30" customHeight="1" x14ac:dyDescent="0.1">
      <c r="C122" s="28"/>
      <c r="D122" s="40"/>
      <c r="E122" s="40"/>
      <c r="F122" s="40"/>
      <c r="G122" s="40"/>
    </row>
    <row r="123" spans="2:38" s="18" customFormat="1" ht="58.35" customHeight="1" x14ac:dyDescent="0.1">
      <c r="B123" s="28"/>
      <c r="C123" s="28"/>
      <c r="D123" s="232" t="s">
        <v>3699</v>
      </c>
      <c r="E123" s="232"/>
      <c r="F123" s="232"/>
      <c r="G123" s="232"/>
      <c r="H123" s="232"/>
      <c r="I123" s="232"/>
      <c r="J123" s="232"/>
      <c r="K123" s="232"/>
      <c r="L123" s="232"/>
      <c r="M123" s="232"/>
      <c r="N123" s="232"/>
      <c r="O123" s="232"/>
      <c r="P123" s="232"/>
      <c r="Q123" s="232"/>
      <c r="R123" s="232"/>
      <c r="S123" s="232"/>
      <c r="T123" s="232"/>
      <c r="U123" s="232"/>
      <c r="V123" s="232"/>
      <c r="W123" s="232"/>
      <c r="X123" s="232"/>
      <c r="Y123" s="232"/>
      <c r="Z123" s="232"/>
      <c r="AA123" s="232"/>
      <c r="AB123" s="232"/>
      <c r="AC123" s="232"/>
      <c r="AD123" s="232"/>
      <c r="AE123" s="232"/>
      <c r="AF123" s="232"/>
      <c r="AG123" s="232"/>
      <c r="AH123" s="232"/>
      <c r="AI123" s="232"/>
      <c r="AJ123" s="232"/>
      <c r="AK123" s="232"/>
      <c r="AL123" s="232"/>
    </row>
    <row r="124" spans="2:38" s="18" customFormat="1" ht="27.6" customHeight="1" x14ac:dyDescent="0.1">
      <c r="B124" s="28"/>
      <c r="C124" s="28"/>
      <c r="D124" s="233"/>
      <c r="E124" s="233"/>
      <c r="F124" s="233"/>
      <c r="G124" s="233"/>
      <c r="H124" s="233"/>
      <c r="I124" s="233"/>
      <c r="J124" s="233"/>
      <c r="K124" s="233"/>
      <c r="L124" s="233"/>
      <c r="M124" s="233"/>
      <c r="N124" s="233"/>
      <c r="O124" s="233"/>
      <c r="P124" s="233"/>
      <c r="Q124" s="233"/>
      <c r="R124" s="233"/>
      <c r="S124" s="233"/>
      <c r="T124" s="233"/>
      <c r="U124" s="233"/>
      <c r="V124" s="233"/>
      <c r="W124" s="233"/>
      <c r="X124" s="233"/>
      <c r="Y124" s="233"/>
      <c r="Z124" s="233"/>
      <c r="AA124" s="233"/>
      <c r="AB124" s="233"/>
      <c r="AC124" s="233"/>
      <c r="AD124" s="233"/>
      <c r="AE124" s="233"/>
      <c r="AF124" s="233"/>
      <c r="AG124" s="233"/>
      <c r="AH124" s="233"/>
      <c r="AI124" s="233"/>
      <c r="AJ124" s="233"/>
      <c r="AK124" s="233"/>
      <c r="AL124" s="28"/>
    </row>
    <row r="125" spans="2:38" s="18" customFormat="1" ht="30" customHeight="1" x14ac:dyDescent="0.1">
      <c r="B125" s="28"/>
      <c r="C125" s="48"/>
      <c r="D125" s="233" t="s">
        <v>54</v>
      </c>
      <c r="E125" s="233"/>
      <c r="F125" s="233"/>
      <c r="G125" s="233"/>
      <c r="H125" s="233"/>
      <c r="I125" s="233"/>
      <c r="J125" s="233"/>
      <c r="K125" s="233"/>
      <c r="L125" s="233"/>
      <c r="M125" s="233"/>
      <c r="N125" s="233"/>
      <c r="O125" s="233"/>
      <c r="P125" s="233"/>
      <c r="Q125" s="233"/>
      <c r="R125" s="233"/>
      <c r="S125" s="233"/>
      <c r="T125" s="233"/>
      <c r="U125" s="233"/>
      <c r="V125" s="233"/>
      <c r="W125" s="233"/>
      <c r="X125" s="233"/>
      <c r="Y125" s="233"/>
      <c r="Z125" s="233"/>
      <c r="AA125" s="233"/>
      <c r="AB125" s="233"/>
      <c r="AC125" s="233"/>
      <c r="AD125" s="233"/>
      <c r="AE125" s="233"/>
      <c r="AF125" s="233"/>
      <c r="AG125" s="233"/>
      <c r="AH125" s="233"/>
      <c r="AI125" s="233"/>
      <c r="AJ125" s="233"/>
      <c r="AK125" s="233"/>
      <c r="AL125" s="28"/>
    </row>
    <row r="126" spans="2:38" s="18" customFormat="1" ht="30" customHeight="1" x14ac:dyDescent="0.1">
      <c r="B126" s="28"/>
      <c r="C126" s="48"/>
      <c r="D126" s="233" t="s">
        <v>55</v>
      </c>
      <c r="E126" s="233"/>
      <c r="F126" s="233"/>
      <c r="G126" s="233"/>
      <c r="H126" s="233"/>
      <c r="I126" s="233"/>
      <c r="J126" s="233"/>
      <c r="K126" s="233"/>
      <c r="L126" s="233"/>
      <c r="M126" s="233"/>
      <c r="N126" s="233"/>
      <c r="O126" s="233"/>
      <c r="P126" s="233"/>
      <c r="Q126" s="233"/>
      <c r="R126" s="233"/>
      <c r="S126" s="233"/>
      <c r="T126" s="233"/>
      <c r="U126" s="233"/>
      <c r="V126" s="233"/>
      <c r="W126" s="233"/>
      <c r="X126" s="233"/>
      <c r="Y126" s="233"/>
      <c r="Z126" s="233"/>
      <c r="AA126" s="233"/>
      <c r="AB126" s="233"/>
      <c r="AC126" s="233"/>
      <c r="AD126" s="233"/>
      <c r="AE126" s="233"/>
      <c r="AF126" s="233"/>
      <c r="AG126" s="233"/>
      <c r="AH126" s="233"/>
      <c r="AI126" s="233"/>
      <c r="AJ126" s="233"/>
      <c r="AK126" s="233"/>
      <c r="AL126" s="28"/>
    </row>
    <row r="127" spans="2:38" s="18" customFormat="1" ht="30" customHeight="1" x14ac:dyDescent="0.1">
      <c r="B127" s="28"/>
      <c r="C127" s="48"/>
      <c r="D127" s="233" t="s">
        <v>56</v>
      </c>
      <c r="E127" s="233"/>
      <c r="F127" s="233"/>
      <c r="G127" s="233"/>
      <c r="H127" s="233"/>
      <c r="I127" s="233"/>
      <c r="J127" s="233"/>
      <c r="K127" s="233"/>
      <c r="L127" s="233"/>
      <c r="M127" s="233"/>
      <c r="N127" s="233"/>
      <c r="O127" s="233"/>
      <c r="P127" s="233"/>
      <c r="Q127" s="233"/>
      <c r="R127" s="233"/>
      <c r="S127" s="233"/>
      <c r="T127" s="233"/>
      <c r="U127" s="233"/>
      <c r="V127" s="233"/>
      <c r="W127" s="233"/>
      <c r="X127" s="233"/>
      <c r="Y127" s="233"/>
      <c r="Z127" s="233"/>
      <c r="AA127" s="233"/>
      <c r="AB127" s="233"/>
      <c r="AC127" s="233"/>
      <c r="AD127" s="233"/>
      <c r="AE127" s="233"/>
      <c r="AF127" s="233"/>
      <c r="AG127" s="233"/>
      <c r="AH127" s="233"/>
      <c r="AI127" s="233"/>
      <c r="AJ127" s="233"/>
      <c r="AK127" s="233"/>
      <c r="AL127" s="28"/>
    </row>
    <row r="128" spans="2:38" s="18" customFormat="1" ht="30" customHeight="1" x14ac:dyDescent="0.1">
      <c r="B128" s="28"/>
      <c r="C128" s="48"/>
      <c r="D128" s="233" t="s">
        <v>57</v>
      </c>
      <c r="E128" s="233"/>
      <c r="F128" s="233"/>
      <c r="G128" s="233"/>
      <c r="H128" s="233"/>
      <c r="I128" s="233"/>
      <c r="J128" s="233"/>
      <c r="K128" s="233"/>
      <c r="L128" s="233"/>
      <c r="M128" s="233"/>
      <c r="N128" s="233"/>
      <c r="O128" s="233"/>
      <c r="P128" s="233"/>
      <c r="Q128" s="233"/>
      <c r="R128" s="233"/>
      <c r="S128" s="233"/>
      <c r="T128" s="233"/>
      <c r="U128" s="233"/>
      <c r="V128" s="233"/>
      <c r="W128" s="233"/>
      <c r="X128" s="233"/>
      <c r="Y128" s="233"/>
      <c r="Z128" s="233"/>
      <c r="AA128" s="233"/>
      <c r="AB128" s="233"/>
      <c r="AC128" s="233"/>
      <c r="AD128" s="233"/>
      <c r="AE128" s="233"/>
      <c r="AF128" s="233"/>
      <c r="AG128" s="233"/>
      <c r="AH128" s="233"/>
      <c r="AI128" s="233"/>
      <c r="AJ128" s="233"/>
      <c r="AK128" s="233"/>
      <c r="AL128" s="28"/>
    </row>
    <row r="129" spans="2:38" s="18" customFormat="1" ht="30" customHeight="1" x14ac:dyDescent="0.1">
      <c r="B129" s="28"/>
      <c r="C129" s="48"/>
      <c r="D129" s="233" t="s">
        <v>58</v>
      </c>
      <c r="E129" s="233"/>
      <c r="F129" s="233"/>
      <c r="G129" s="233"/>
      <c r="H129" s="233"/>
      <c r="I129" s="233"/>
      <c r="J129" s="233"/>
      <c r="K129" s="233"/>
      <c r="L129" s="233"/>
      <c r="M129" s="233"/>
      <c r="N129" s="233"/>
      <c r="O129" s="233"/>
      <c r="P129" s="233"/>
      <c r="Q129" s="233"/>
      <c r="R129" s="233"/>
      <c r="S129" s="233"/>
      <c r="T129" s="233"/>
      <c r="U129" s="233"/>
      <c r="V129" s="233"/>
      <c r="W129" s="233"/>
      <c r="X129" s="233"/>
      <c r="Y129" s="233"/>
      <c r="Z129" s="233"/>
      <c r="AA129" s="233"/>
      <c r="AB129" s="233"/>
      <c r="AC129" s="233"/>
      <c r="AD129" s="233"/>
      <c r="AE129" s="233"/>
      <c r="AF129" s="233"/>
      <c r="AG129" s="233"/>
      <c r="AH129" s="233"/>
      <c r="AI129" s="233"/>
      <c r="AJ129" s="233"/>
      <c r="AK129" s="233"/>
      <c r="AL129" s="28"/>
    </row>
    <row r="130" spans="2:38" s="18" customFormat="1" ht="30" customHeight="1" x14ac:dyDescent="0.1">
      <c r="B130" s="28"/>
      <c r="C130" s="48"/>
      <c r="D130" s="233" t="s">
        <v>59</v>
      </c>
      <c r="E130" s="233"/>
      <c r="F130" s="233"/>
      <c r="G130" s="233"/>
      <c r="H130" s="233"/>
      <c r="I130" s="233"/>
      <c r="J130" s="233"/>
      <c r="K130" s="233"/>
      <c r="L130" s="233"/>
      <c r="M130" s="233"/>
      <c r="N130" s="233"/>
      <c r="O130" s="233"/>
      <c r="P130" s="233"/>
      <c r="Q130" s="233"/>
      <c r="R130" s="233"/>
      <c r="S130" s="233"/>
      <c r="T130" s="233"/>
      <c r="U130" s="233"/>
      <c r="V130" s="233"/>
      <c r="W130" s="233"/>
      <c r="X130" s="233"/>
      <c r="Y130" s="233"/>
      <c r="Z130" s="233"/>
      <c r="AA130" s="233"/>
      <c r="AB130" s="233"/>
      <c r="AC130" s="233"/>
      <c r="AD130" s="233"/>
      <c r="AE130" s="233"/>
      <c r="AF130" s="233"/>
      <c r="AG130" s="233"/>
      <c r="AH130" s="233"/>
      <c r="AI130" s="233"/>
      <c r="AJ130" s="233"/>
      <c r="AK130" s="233"/>
      <c r="AL130" s="28"/>
    </row>
    <row r="131" spans="2:38" s="18" customFormat="1" ht="30" customHeight="1" x14ac:dyDescent="0.1">
      <c r="B131" s="28"/>
      <c r="C131" s="48"/>
      <c r="D131" s="233" t="s">
        <v>60</v>
      </c>
      <c r="E131" s="233"/>
      <c r="F131" s="233"/>
      <c r="G131" s="233"/>
      <c r="H131" s="233"/>
      <c r="I131" s="233"/>
      <c r="J131" s="233"/>
      <c r="K131" s="233"/>
      <c r="L131" s="233"/>
      <c r="M131" s="233"/>
      <c r="N131" s="233"/>
      <c r="O131" s="233"/>
      <c r="P131" s="233"/>
      <c r="Q131" s="233"/>
      <c r="R131" s="233"/>
      <c r="S131" s="233"/>
      <c r="T131" s="233"/>
      <c r="U131" s="233"/>
      <c r="V131" s="233"/>
      <c r="W131" s="233"/>
      <c r="X131" s="233"/>
      <c r="Y131" s="233"/>
      <c r="Z131" s="233"/>
      <c r="AA131" s="233"/>
      <c r="AB131" s="233"/>
      <c r="AC131" s="233"/>
      <c r="AD131" s="233"/>
      <c r="AE131" s="233"/>
      <c r="AF131" s="233"/>
      <c r="AG131" s="233"/>
      <c r="AH131" s="233"/>
      <c r="AI131" s="233"/>
      <c r="AJ131" s="233"/>
      <c r="AK131" s="233"/>
      <c r="AL131" s="28"/>
    </row>
    <row r="132" spans="2:38" s="18" customFormat="1" ht="30" customHeight="1" x14ac:dyDescent="0.1">
      <c r="B132" s="28"/>
      <c r="C132" s="48"/>
      <c r="D132" s="233" t="s">
        <v>61</v>
      </c>
      <c r="E132" s="233"/>
      <c r="F132" s="233"/>
      <c r="G132" s="233"/>
      <c r="H132" s="233"/>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28"/>
    </row>
    <row r="133" spans="2:38" s="18" customFormat="1" ht="16.5" x14ac:dyDescent="0.1">
      <c r="B133" s="28"/>
      <c r="C133" s="28"/>
      <c r="D133" s="50"/>
      <c r="E133" s="50"/>
      <c r="F133" s="50"/>
      <c r="G133" s="50"/>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row>
    <row r="134" spans="2:38" s="18" customFormat="1" ht="30" customHeight="1" x14ac:dyDescent="0.1">
      <c r="B134" s="28"/>
      <c r="C134" s="28"/>
      <c r="D134" s="235"/>
      <c r="E134" s="235"/>
      <c r="F134" s="235"/>
      <c r="G134" s="235"/>
      <c r="H134" s="235"/>
      <c r="I134" s="235"/>
      <c r="J134" s="235"/>
      <c r="K134" s="235"/>
      <c r="L134" s="235"/>
      <c r="M134" s="235"/>
      <c r="N134" s="235"/>
      <c r="O134" s="235"/>
      <c r="P134" s="235"/>
      <c r="Q134" s="235"/>
      <c r="R134" s="235"/>
      <c r="S134" s="235"/>
      <c r="T134" s="235"/>
      <c r="U134" s="235"/>
      <c r="V134" s="235"/>
      <c r="W134" s="235"/>
      <c r="X134" s="235"/>
      <c r="Y134" s="235"/>
      <c r="Z134" s="235"/>
      <c r="AA134" s="235"/>
      <c r="AB134" s="235"/>
      <c r="AC134" s="235"/>
      <c r="AD134" s="235"/>
      <c r="AE134" s="235"/>
      <c r="AF134" s="235"/>
      <c r="AG134" s="235"/>
      <c r="AH134" s="235"/>
      <c r="AI134" s="235"/>
      <c r="AJ134" s="235"/>
      <c r="AK134" s="235"/>
      <c r="AL134" s="28"/>
    </row>
    <row r="135" spans="2:38" s="18" customFormat="1" ht="30" customHeight="1" x14ac:dyDescent="0.1">
      <c r="B135" s="28"/>
      <c r="C135" s="28"/>
      <c r="D135" s="235"/>
      <c r="E135" s="235"/>
      <c r="F135" s="235"/>
      <c r="G135" s="235"/>
      <c r="H135" s="235"/>
      <c r="I135" s="235"/>
      <c r="J135" s="235"/>
      <c r="K135" s="235"/>
      <c r="L135" s="235"/>
      <c r="M135" s="235"/>
      <c r="N135" s="235"/>
      <c r="O135" s="235"/>
      <c r="P135" s="235"/>
      <c r="Q135" s="235"/>
      <c r="R135" s="235"/>
      <c r="S135" s="235"/>
      <c r="T135" s="235"/>
      <c r="U135" s="235"/>
      <c r="V135" s="235"/>
      <c r="W135" s="235"/>
      <c r="X135" s="235"/>
      <c r="Y135" s="235"/>
      <c r="Z135" s="235"/>
      <c r="AA135" s="235"/>
      <c r="AB135" s="235"/>
      <c r="AC135" s="235"/>
      <c r="AD135" s="235"/>
      <c r="AE135" s="235"/>
      <c r="AF135" s="235"/>
      <c r="AG135" s="235"/>
      <c r="AH135" s="235"/>
      <c r="AI135" s="235"/>
      <c r="AJ135" s="235"/>
      <c r="AK135" s="235"/>
      <c r="AL135" s="28"/>
    </row>
    <row r="136" spans="2:38" s="18" customFormat="1" ht="16.5" x14ac:dyDescent="0.1">
      <c r="B136" s="28"/>
      <c r="C136" s="28"/>
      <c r="D136" s="50"/>
      <c r="E136" s="50"/>
      <c r="F136" s="50"/>
      <c r="G136" s="50"/>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row>
    <row r="137" spans="2:38" s="18" customFormat="1" ht="30.6" customHeight="1" x14ac:dyDescent="0.1">
      <c r="B137" s="28"/>
      <c r="C137" s="28"/>
      <c r="D137" s="50"/>
      <c r="E137" s="50"/>
      <c r="F137" s="50"/>
      <c r="G137" s="50"/>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row>
    <row r="138" spans="2:38" s="18" customFormat="1" ht="52.9" customHeight="1" x14ac:dyDescent="0.1">
      <c r="C138" s="28"/>
      <c r="D138" s="181" t="s">
        <v>62</v>
      </c>
      <c r="E138" s="181"/>
      <c r="F138" s="181"/>
      <c r="G138" s="181"/>
      <c r="H138" s="181"/>
      <c r="I138" s="181"/>
      <c r="J138" s="181"/>
      <c r="K138" s="181"/>
      <c r="L138" s="181"/>
      <c r="M138" s="181"/>
      <c r="N138" s="181"/>
      <c r="O138" s="181"/>
      <c r="P138" s="181"/>
      <c r="Q138" s="181"/>
      <c r="R138" s="181"/>
      <c r="S138" s="181"/>
      <c r="T138" s="181"/>
      <c r="U138" s="181"/>
      <c r="V138" s="181"/>
      <c r="W138" s="181"/>
      <c r="X138" s="181"/>
      <c r="Y138" s="181"/>
      <c r="Z138" s="181"/>
      <c r="AA138" s="181"/>
      <c r="AB138" s="181"/>
      <c r="AC138" s="181"/>
      <c r="AD138" s="181"/>
      <c r="AE138" s="181"/>
      <c r="AF138" s="181"/>
      <c r="AG138" s="181"/>
      <c r="AH138" s="181"/>
      <c r="AI138" s="181"/>
      <c r="AJ138" s="181"/>
      <c r="AK138" s="181"/>
    </row>
    <row r="139" spans="2:38" s="18" customFormat="1" ht="30" customHeight="1" x14ac:dyDescent="0.1">
      <c r="C139" s="48"/>
      <c r="D139" s="210" t="s">
        <v>63</v>
      </c>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c r="AA139" s="210"/>
      <c r="AB139" s="210"/>
      <c r="AC139" s="210"/>
      <c r="AD139" s="210"/>
      <c r="AE139" s="210"/>
      <c r="AF139" s="210"/>
      <c r="AG139" s="210"/>
      <c r="AH139" s="210"/>
      <c r="AI139" s="210"/>
      <c r="AJ139" s="210"/>
      <c r="AK139" s="210"/>
    </row>
    <row r="140" spans="2:38" s="18" customFormat="1" ht="30" customHeight="1" x14ac:dyDescent="0.1">
      <c r="C140" s="48"/>
      <c r="D140" s="181" t="s">
        <v>64</v>
      </c>
      <c r="E140" s="181"/>
      <c r="F140" s="181"/>
      <c r="G140" s="181"/>
      <c r="H140" s="181"/>
      <c r="I140" s="181"/>
      <c r="J140" s="181"/>
      <c r="K140" s="181"/>
      <c r="L140" s="181"/>
      <c r="M140" s="181"/>
      <c r="N140" s="181"/>
      <c r="O140" s="181"/>
      <c r="P140" s="181"/>
      <c r="Q140" s="181"/>
      <c r="R140" s="181"/>
      <c r="S140" s="181"/>
      <c r="T140" s="181"/>
      <c r="U140" s="181"/>
      <c r="V140" s="181"/>
      <c r="W140" s="181"/>
      <c r="X140" s="181"/>
      <c r="Y140" s="181"/>
      <c r="Z140" s="181"/>
      <c r="AA140" s="181"/>
      <c r="AB140" s="181"/>
      <c r="AC140" s="181"/>
      <c r="AD140" s="181"/>
      <c r="AE140" s="181"/>
      <c r="AF140" s="181"/>
      <c r="AG140" s="181"/>
      <c r="AH140" s="181"/>
      <c r="AI140" s="181"/>
      <c r="AJ140" s="181"/>
      <c r="AK140" s="181"/>
    </row>
    <row r="141" spans="2:38" s="18" customFormat="1" ht="30" customHeight="1" x14ac:dyDescent="0.1">
      <c r="C141" s="48"/>
      <c r="D141" s="210" t="s">
        <v>65</v>
      </c>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c r="AA141" s="210"/>
      <c r="AB141" s="210"/>
      <c r="AC141" s="210"/>
      <c r="AD141" s="210"/>
      <c r="AE141" s="210"/>
      <c r="AF141" s="210"/>
      <c r="AG141" s="210"/>
      <c r="AH141" s="210"/>
      <c r="AI141" s="210"/>
      <c r="AJ141" s="210"/>
      <c r="AK141" s="210"/>
    </row>
    <row r="142" spans="2:38" s="18" customFormat="1" ht="30.6" customHeight="1" x14ac:dyDescent="0.1">
      <c r="C142" s="28"/>
      <c r="D142" s="40"/>
      <c r="E142" s="40"/>
      <c r="F142" s="40"/>
      <c r="G142" s="40"/>
    </row>
    <row r="143" spans="2:38" s="60" customFormat="1" ht="57.6" customHeight="1" x14ac:dyDescent="0.1">
      <c r="C143" s="61"/>
      <c r="D143" s="181" t="s">
        <v>3700</v>
      </c>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c r="AA143" s="210"/>
      <c r="AB143" s="210"/>
      <c r="AC143" s="210"/>
      <c r="AD143" s="210"/>
      <c r="AE143" s="210"/>
      <c r="AF143" s="210"/>
      <c r="AG143" s="210"/>
      <c r="AH143" s="210"/>
      <c r="AI143" s="210"/>
      <c r="AJ143" s="210"/>
      <c r="AK143" s="210"/>
    </row>
    <row r="144" spans="2:38" s="18" customFormat="1" ht="11.65" customHeight="1" x14ac:dyDescent="0.1">
      <c r="C144" s="28"/>
      <c r="D144" s="235"/>
      <c r="E144" s="235"/>
      <c r="F144" s="235"/>
      <c r="G144" s="235"/>
      <c r="H144" s="235"/>
      <c r="I144" s="235"/>
      <c r="J144" s="235"/>
      <c r="K144" s="235"/>
      <c r="L144" s="235"/>
      <c r="M144" s="235"/>
      <c r="N144" s="235"/>
      <c r="O144" s="235"/>
      <c r="P144" s="235"/>
      <c r="Q144" s="235"/>
      <c r="R144" s="235"/>
      <c r="S144" s="235"/>
      <c r="T144" s="235"/>
      <c r="U144" s="235"/>
      <c r="V144" s="235"/>
      <c r="W144" s="235"/>
      <c r="X144" s="235"/>
      <c r="Y144" s="235"/>
      <c r="Z144" s="235"/>
      <c r="AA144" s="235"/>
      <c r="AB144" s="235"/>
      <c r="AC144" s="235"/>
      <c r="AD144" s="235"/>
      <c r="AE144" s="235"/>
      <c r="AF144" s="235"/>
      <c r="AG144" s="235"/>
      <c r="AH144" s="235"/>
      <c r="AI144" s="235"/>
      <c r="AJ144" s="235"/>
      <c r="AK144" s="235"/>
    </row>
    <row r="145" spans="2:38" s="18" customFormat="1" ht="20.100000000000001" customHeight="1" x14ac:dyDescent="0.1">
      <c r="C145" s="28"/>
      <c r="D145" s="235"/>
      <c r="E145" s="235"/>
      <c r="F145" s="235"/>
      <c r="G145" s="235"/>
      <c r="H145" s="235"/>
      <c r="I145" s="235"/>
      <c r="J145" s="235"/>
      <c r="K145" s="235"/>
      <c r="L145" s="235"/>
      <c r="M145" s="235"/>
      <c r="N145" s="235"/>
      <c r="O145" s="235"/>
      <c r="P145" s="235"/>
      <c r="Q145" s="235"/>
      <c r="R145" s="235"/>
      <c r="S145" s="235"/>
      <c r="T145" s="235"/>
      <c r="U145" s="235"/>
      <c r="V145" s="235"/>
      <c r="W145" s="235"/>
      <c r="X145" s="235"/>
      <c r="Y145" s="235"/>
      <c r="Z145" s="235"/>
      <c r="AA145" s="235"/>
      <c r="AB145" s="235"/>
      <c r="AC145" s="235"/>
      <c r="AD145" s="235"/>
      <c r="AE145" s="235"/>
      <c r="AF145" s="235"/>
      <c r="AG145" s="235"/>
      <c r="AH145" s="235"/>
      <c r="AI145" s="235"/>
      <c r="AJ145" s="235"/>
      <c r="AK145" s="235"/>
    </row>
    <row r="146" spans="2:38" s="18" customFormat="1" ht="20.100000000000001" customHeight="1" x14ac:dyDescent="0.1">
      <c r="C146" s="28"/>
      <c r="D146" s="235"/>
      <c r="E146" s="235"/>
      <c r="F146" s="235"/>
      <c r="G146" s="235"/>
      <c r="H146" s="235"/>
      <c r="I146" s="235"/>
      <c r="J146" s="235"/>
      <c r="K146" s="235"/>
      <c r="L146" s="235"/>
      <c r="M146" s="235"/>
      <c r="N146" s="235"/>
      <c r="O146" s="235"/>
      <c r="P146" s="235"/>
      <c r="Q146" s="235"/>
      <c r="R146" s="235"/>
      <c r="S146" s="235"/>
      <c r="T146" s="235"/>
      <c r="U146" s="235"/>
      <c r="V146" s="235"/>
      <c r="W146" s="235"/>
      <c r="X146" s="235"/>
      <c r="Y146" s="235"/>
      <c r="Z146" s="235"/>
      <c r="AA146" s="235"/>
      <c r="AB146" s="235"/>
      <c r="AC146" s="235"/>
      <c r="AD146" s="235"/>
      <c r="AE146" s="235"/>
      <c r="AF146" s="235"/>
      <c r="AG146" s="235"/>
      <c r="AH146" s="235"/>
      <c r="AI146" s="235"/>
      <c r="AJ146" s="235"/>
      <c r="AK146" s="235"/>
    </row>
    <row r="147" spans="2:38" s="18" customFormat="1" ht="16.5" x14ac:dyDescent="0.1">
      <c r="C147" s="28"/>
      <c r="D147" s="40"/>
      <c r="E147" s="40"/>
      <c r="F147" s="40"/>
      <c r="G147" s="40"/>
    </row>
    <row r="148" spans="2:38" s="18" customFormat="1" ht="30.6" customHeight="1" x14ac:dyDescent="0.1">
      <c r="C148" s="28"/>
      <c r="D148" s="40"/>
      <c r="E148" s="40"/>
      <c r="F148" s="40"/>
      <c r="G148" s="40"/>
    </row>
    <row r="149" spans="2:38" s="18" customFormat="1" ht="36.6" customHeight="1" x14ac:dyDescent="0.1">
      <c r="B149" s="28"/>
      <c r="C149" s="28"/>
      <c r="D149" s="233" t="s">
        <v>3647</v>
      </c>
      <c r="E149" s="233"/>
      <c r="F149" s="233"/>
      <c r="G149" s="233"/>
      <c r="H149" s="233"/>
      <c r="I149" s="233"/>
      <c r="J149" s="233"/>
      <c r="K149" s="233"/>
      <c r="L149" s="233"/>
      <c r="M149" s="233"/>
      <c r="N149" s="233"/>
      <c r="O149" s="233"/>
      <c r="P149" s="233"/>
      <c r="Q149" s="233"/>
      <c r="R149" s="233"/>
      <c r="S149" s="233"/>
      <c r="T149" s="233"/>
      <c r="U149" s="233"/>
      <c r="V149" s="233"/>
      <c r="W149" s="233"/>
      <c r="X149" s="233"/>
      <c r="Y149" s="233"/>
      <c r="Z149" s="233"/>
      <c r="AA149" s="233"/>
      <c r="AB149" s="233"/>
      <c r="AC149" s="233"/>
      <c r="AD149" s="233"/>
      <c r="AE149" s="233"/>
      <c r="AF149" s="233"/>
      <c r="AG149" s="233"/>
      <c r="AH149" s="233"/>
      <c r="AI149" s="233"/>
      <c r="AJ149" s="233"/>
      <c r="AK149" s="233"/>
    </row>
    <row r="150" spans="2:38" s="18" customFormat="1" ht="4.9000000000000004" customHeight="1" x14ac:dyDescent="0.1">
      <c r="B150" s="28"/>
      <c r="C150" s="28"/>
      <c r="D150" s="50"/>
      <c r="E150" s="50"/>
      <c r="F150" s="50"/>
      <c r="G150" s="50"/>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row>
    <row r="151" spans="2:38" s="18" customFormat="1" ht="30" customHeight="1" x14ac:dyDescent="0.1">
      <c r="B151" s="28"/>
      <c r="C151" s="209"/>
      <c r="D151" s="233" t="s">
        <v>3649</v>
      </c>
      <c r="E151" s="233"/>
      <c r="F151" s="233"/>
      <c r="G151" s="233"/>
      <c r="H151" s="233"/>
      <c r="I151" s="233"/>
      <c r="J151" s="233"/>
      <c r="K151" s="233"/>
      <c r="L151" s="233"/>
      <c r="M151" s="233"/>
      <c r="N151" s="233"/>
      <c r="O151" s="233"/>
      <c r="P151" s="233"/>
      <c r="Q151" s="233"/>
      <c r="R151" s="233"/>
      <c r="S151" s="233"/>
      <c r="T151" s="233"/>
      <c r="U151" s="233"/>
      <c r="V151" s="233"/>
      <c r="W151" s="233"/>
      <c r="X151" s="233"/>
      <c r="Y151" s="233"/>
      <c r="Z151" s="233"/>
      <c r="AA151" s="233"/>
      <c r="AB151" s="233"/>
      <c r="AC151" s="233"/>
      <c r="AD151" s="233"/>
      <c r="AE151" s="233"/>
      <c r="AF151" s="233"/>
      <c r="AG151" s="233"/>
      <c r="AH151" s="233"/>
      <c r="AI151" s="233"/>
      <c r="AJ151" s="233"/>
      <c r="AK151" s="233"/>
    </row>
    <row r="152" spans="2:38" s="18" customFormat="1" ht="30" customHeight="1" x14ac:dyDescent="0.1">
      <c r="B152" s="28"/>
      <c r="C152" s="209"/>
      <c r="D152" s="233" t="s">
        <v>3650</v>
      </c>
      <c r="E152" s="233"/>
      <c r="F152" s="233"/>
      <c r="G152" s="233"/>
      <c r="H152" s="233"/>
      <c r="I152" s="233"/>
      <c r="J152" s="233"/>
      <c r="K152" s="233"/>
      <c r="L152" s="233"/>
      <c r="M152" s="233"/>
      <c r="N152" s="233"/>
      <c r="O152" s="233"/>
      <c r="P152" s="233"/>
      <c r="Q152" s="233"/>
      <c r="R152" s="233"/>
      <c r="S152" s="233"/>
      <c r="T152" s="233"/>
      <c r="U152" s="233"/>
      <c r="V152" s="233"/>
      <c r="W152" s="233"/>
      <c r="X152" s="233"/>
      <c r="Y152" s="233"/>
      <c r="Z152" s="233"/>
      <c r="AA152" s="233"/>
      <c r="AB152" s="233"/>
      <c r="AC152" s="233"/>
      <c r="AD152" s="233"/>
      <c r="AE152" s="233"/>
      <c r="AF152" s="233"/>
      <c r="AG152" s="233"/>
      <c r="AH152" s="233"/>
      <c r="AI152" s="233"/>
      <c r="AJ152" s="233"/>
      <c r="AK152" s="233"/>
    </row>
    <row r="153" spans="2:38" s="18" customFormat="1" ht="31.35" customHeight="1" x14ac:dyDescent="0.1">
      <c r="B153" s="28"/>
      <c r="C153" s="28"/>
      <c r="D153" s="50"/>
      <c r="E153" s="50"/>
      <c r="F153" s="50"/>
      <c r="G153" s="50"/>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row>
    <row r="154" spans="2:38" s="18" customFormat="1" ht="38.65" customHeight="1" x14ac:dyDescent="0.1">
      <c r="B154" s="28"/>
      <c r="C154" s="28"/>
      <c r="D154" s="233" t="s">
        <v>3701</v>
      </c>
      <c r="E154" s="233"/>
      <c r="F154" s="233"/>
      <c r="G154" s="233"/>
      <c r="H154" s="233"/>
      <c r="I154" s="233"/>
      <c r="J154" s="233"/>
      <c r="K154" s="233"/>
      <c r="L154" s="233"/>
      <c r="M154" s="233"/>
      <c r="N154" s="233"/>
      <c r="O154" s="233"/>
      <c r="P154" s="233"/>
      <c r="Q154" s="233"/>
      <c r="R154" s="233"/>
      <c r="S154" s="233"/>
      <c r="T154" s="233"/>
      <c r="U154" s="233"/>
      <c r="V154" s="233"/>
      <c r="W154" s="233"/>
      <c r="X154" s="233"/>
      <c r="Y154" s="233"/>
      <c r="Z154" s="233"/>
      <c r="AA154" s="233"/>
      <c r="AB154" s="233"/>
      <c r="AC154" s="233"/>
      <c r="AD154" s="233"/>
      <c r="AE154" s="233"/>
      <c r="AF154" s="233"/>
      <c r="AG154" s="233"/>
      <c r="AH154" s="233"/>
      <c r="AI154" s="233"/>
      <c r="AJ154" s="233"/>
      <c r="AK154" s="233"/>
    </row>
    <row r="155" spans="2:38" s="18" customFormat="1" ht="20.100000000000001" customHeight="1" x14ac:dyDescent="0.1">
      <c r="B155" s="28"/>
      <c r="C155" s="28"/>
      <c r="D155" s="235"/>
      <c r="E155" s="235"/>
      <c r="F155" s="235"/>
      <c r="G155" s="235"/>
      <c r="H155" s="235"/>
      <c r="I155" s="235"/>
      <c r="J155" s="235"/>
      <c r="K155" s="235"/>
      <c r="L155" s="235"/>
      <c r="M155" s="235"/>
      <c r="N155" s="235"/>
      <c r="O155" s="235"/>
      <c r="P155" s="235"/>
      <c r="Q155" s="235"/>
      <c r="R155" s="235"/>
      <c r="S155" s="235"/>
      <c r="T155" s="235"/>
      <c r="U155" s="235"/>
      <c r="V155" s="235"/>
      <c r="W155" s="235"/>
      <c r="X155" s="235"/>
      <c r="Y155" s="235"/>
      <c r="Z155" s="235"/>
      <c r="AA155" s="235"/>
      <c r="AB155" s="235"/>
      <c r="AC155" s="235"/>
      <c r="AD155" s="235"/>
      <c r="AE155" s="235"/>
      <c r="AF155" s="235"/>
      <c r="AG155" s="235"/>
      <c r="AH155" s="235"/>
      <c r="AI155" s="235"/>
      <c r="AJ155" s="235"/>
      <c r="AK155" s="235"/>
    </row>
    <row r="156" spans="2:38" s="18" customFormat="1" ht="16.350000000000001" customHeight="1" x14ac:dyDescent="0.1">
      <c r="B156" s="28"/>
      <c r="C156" s="28"/>
      <c r="D156" s="235"/>
      <c r="E156" s="235"/>
      <c r="F156" s="235"/>
      <c r="G156" s="235"/>
      <c r="H156" s="235"/>
      <c r="I156" s="235"/>
      <c r="J156" s="235"/>
      <c r="K156" s="235"/>
      <c r="L156" s="235"/>
      <c r="M156" s="235"/>
      <c r="N156" s="235"/>
      <c r="O156" s="235"/>
      <c r="P156" s="235"/>
      <c r="Q156" s="235"/>
      <c r="R156" s="235"/>
      <c r="S156" s="235"/>
      <c r="T156" s="235"/>
      <c r="U156" s="235"/>
      <c r="V156" s="235"/>
      <c r="W156" s="235"/>
      <c r="X156" s="235"/>
      <c r="Y156" s="235"/>
      <c r="Z156" s="235"/>
      <c r="AA156" s="235"/>
      <c r="AB156" s="235"/>
      <c r="AC156" s="235"/>
      <c r="AD156" s="235"/>
      <c r="AE156" s="235"/>
      <c r="AF156" s="235"/>
      <c r="AG156" s="235"/>
      <c r="AH156" s="235"/>
      <c r="AI156" s="235"/>
      <c r="AJ156" s="235"/>
      <c r="AK156" s="235"/>
    </row>
    <row r="157" spans="2:38" s="18" customFormat="1" ht="20.100000000000001" customHeight="1" x14ac:dyDescent="0.1">
      <c r="B157" s="28"/>
      <c r="C157" s="28"/>
      <c r="D157" s="235"/>
      <c r="E157" s="235"/>
      <c r="F157" s="235"/>
      <c r="G157" s="235"/>
      <c r="H157" s="235"/>
      <c r="I157" s="235"/>
      <c r="J157" s="235"/>
      <c r="K157" s="235"/>
      <c r="L157" s="235"/>
      <c r="M157" s="235"/>
      <c r="N157" s="235"/>
      <c r="O157" s="235"/>
      <c r="P157" s="235"/>
      <c r="Q157" s="235"/>
      <c r="R157" s="235"/>
      <c r="S157" s="235"/>
      <c r="T157" s="235"/>
      <c r="U157" s="235"/>
      <c r="V157" s="235"/>
      <c r="W157" s="235"/>
      <c r="X157" s="235"/>
      <c r="Y157" s="235"/>
      <c r="Z157" s="235"/>
      <c r="AA157" s="235"/>
      <c r="AB157" s="235"/>
      <c r="AC157" s="235"/>
      <c r="AD157" s="235"/>
      <c r="AE157" s="235"/>
      <c r="AF157" s="235"/>
      <c r="AG157" s="235"/>
      <c r="AH157" s="235"/>
      <c r="AI157" s="235"/>
      <c r="AJ157" s="235"/>
      <c r="AK157" s="235"/>
    </row>
    <row r="158" spans="2:38" ht="7.35" customHeight="1" x14ac:dyDescent="0.1">
      <c r="B158" s="15"/>
      <c r="D158" s="62"/>
      <c r="E158" s="62"/>
      <c r="F158" s="62"/>
      <c r="G158" s="62"/>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60" spans="2:38" ht="25.5" x14ac:dyDescent="0.1">
      <c r="C160" s="16"/>
      <c r="D160" s="150" t="s">
        <v>3658</v>
      </c>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c r="AA160" s="150"/>
      <c r="AB160" s="150"/>
      <c r="AC160" s="150"/>
      <c r="AD160" s="150"/>
      <c r="AE160" s="150"/>
      <c r="AF160" s="150"/>
      <c r="AG160" s="150"/>
      <c r="AH160" s="150"/>
      <c r="AI160" s="150"/>
      <c r="AJ160" s="150"/>
      <c r="AK160" s="150"/>
      <c r="AL160" s="150"/>
    </row>
    <row r="161" spans="1:44" s="18" customFormat="1" ht="56.65" customHeight="1" x14ac:dyDescent="0.1">
      <c r="C161" s="19"/>
      <c r="D161" s="167" t="s">
        <v>3702</v>
      </c>
      <c r="E161" s="234"/>
      <c r="F161" s="234"/>
      <c r="G161" s="234"/>
      <c r="H161" s="234"/>
      <c r="I161" s="234"/>
      <c r="J161" s="234"/>
      <c r="K161" s="234"/>
      <c r="L161" s="234"/>
      <c r="M161" s="234"/>
      <c r="N161" s="234"/>
      <c r="O161" s="234"/>
      <c r="P161" s="234"/>
      <c r="Q161" s="234"/>
      <c r="R161" s="234"/>
      <c r="S161" s="234"/>
      <c r="T161" s="234"/>
      <c r="U161" s="234"/>
      <c r="V161" s="234"/>
      <c r="W161" s="234"/>
      <c r="X161" s="234"/>
      <c r="Y161" s="234"/>
      <c r="Z161" s="234"/>
      <c r="AA161" s="234"/>
      <c r="AB161" s="234"/>
      <c r="AC161" s="234"/>
      <c r="AD161" s="234"/>
      <c r="AE161" s="234"/>
      <c r="AF161" s="234"/>
      <c r="AG161" s="234"/>
      <c r="AH161" s="234"/>
      <c r="AI161" s="234"/>
      <c r="AJ161" s="234"/>
      <c r="AK161" s="234"/>
      <c r="AL161" s="234"/>
    </row>
    <row r="162" spans="1:44" s="18" customFormat="1" ht="13.35" customHeight="1" x14ac:dyDescent="0.1">
      <c r="C162" s="19"/>
      <c r="D162" s="258"/>
      <c r="E162" s="258"/>
      <c r="F162" s="258"/>
      <c r="G162" s="258"/>
      <c r="H162" s="258"/>
      <c r="I162" s="258"/>
      <c r="J162" s="258"/>
      <c r="K162" s="258"/>
      <c r="L162" s="258"/>
      <c r="M162" s="258"/>
      <c r="N162" s="258"/>
      <c r="O162" s="258"/>
      <c r="P162" s="258"/>
      <c r="Q162" s="258"/>
      <c r="R162" s="258"/>
      <c r="S162" s="258"/>
      <c r="T162" s="258"/>
      <c r="U162" s="258"/>
      <c r="V162" s="258"/>
      <c r="W162" s="258"/>
      <c r="X162" s="258"/>
      <c r="Y162" s="258"/>
      <c r="Z162" s="258"/>
      <c r="AA162" s="258"/>
      <c r="AB162" s="258"/>
      <c r="AC162" s="258"/>
      <c r="AD162" s="258"/>
      <c r="AE162" s="258"/>
      <c r="AF162" s="258"/>
      <c r="AG162" s="258"/>
      <c r="AH162" s="258"/>
      <c r="AI162" s="258"/>
      <c r="AJ162" s="258"/>
      <c r="AK162" s="258"/>
      <c r="AL162" s="258"/>
    </row>
    <row r="163" spans="1:44" s="18" customFormat="1" ht="13.35" customHeight="1" x14ac:dyDescent="0.1">
      <c r="C163" s="19"/>
      <c r="D163" s="258"/>
      <c r="E163" s="258"/>
      <c r="F163" s="258"/>
      <c r="G163" s="258"/>
      <c r="H163" s="258"/>
      <c r="I163" s="258"/>
      <c r="J163" s="258"/>
      <c r="K163" s="258"/>
      <c r="L163" s="258"/>
      <c r="M163" s="258"/>
      <c r="N163" s="258"/>
      <c r="O163" s="258"/>
      <c r="P163" s="258"/>
      <c r="Q163" s="258"/>
      <c r="R163" s="258"/>
      <c r="S163" s="258"/>
      <c r="T163" s="258"/>
      <c r="U163" s="258"/>
      <c r="V163" s="258"/>
      <c r="W163" s="258"/>
      <c r="X163" s="258"/>
      <c r="Y163" s="258"/>
      <c r="Z163" s="258"/>
      <c r="AA163" s="258"/>
      <c r="AB163" s="258"/>
      <c r="AC163" s="258"/>
      <c r="AD163" s="258"/>
      <c r="AE163" s="258"/>
      <c r="AF163" s="258"/>
      <c r="AG163" s="258"/>
      <c r="AH163" s="258"/>
      <c r="AI163" s="258"/>
      <c r="AJ163" s="258"/>
      <c r="AK163" s="258"/>
      <c r="AL163" s="258"/>
    </row>
    <row r="164" spans="1:44" s="18" customFormat="1" ht="30.6" customHeight="1" x14ac:dyDescent="0.1">
      <c r="C164" s="259"/>
      <c r="D164" s="167" t="s">
        <v>3659</v>
      </c>
      <c r="E164" s="167"/>
      <c r="F164" s="167"/>
      <c r="G164" s="167"/>
      <c r="H164" s="167"/>
      <c r="I164" s="167"/>
      <c r="J164" s="167"/>
      <c r="K164" s="167"/>
      <c r="L164" s="167"/>
      <c r="M164" s="167"/>
      <c r="N164" s="167"/>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row>
    <row r="165" spans="1:44" s="18" customFormat="1" ht="30.6" customHeight="1" x14ac:dyDescent="0.1">
      <c r="C165" s="259"/>
      <c r="D165" s="167" t="s">
        <v>3660</v>
      </c>
      <c r="E165" s="167"/>
      <c r="F165" s="167"/>
      <c r="G165" s="167"/>
      <c r="H165" s="167"/>
      <c r="I165" s="167"/>
      <c r="J165" s="167"/>
      <c r="K165" s="167"/>
      <c r="L165" s="167"/>
      <c r="M165" s="167"/>
      <c r="N165" s="167"/>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row>
    <row r="166" spans="1:44" s="18" customFormat="1" ht="31.35" customHeight="1" x14ac:dyDescent="0.1">
      <c r="C166" s="28"/>
      <c r="D166" s="40"/>
      <c r="E166" s="40"/>
      <c r="F166" s="40"/>
      <c r="G166" s="40"/>
    </row>
    <row r="167" spans="1:44" s="18" customFormat="1" ht="36" customHeight="1" x14ac:dyDescent="0.1">
      <c r="D167" s="233" t="s">
        <v>3703</v>
      </c>
      <c r="E167" s="265"/>
      <c r="F167" s="265"/>
      <c r="G167" s="265"/>
      <c r="H167" s="265"/>
      <c r="I167" s="265"/>
      <c r="J167" s="265"/>
      <c r="K167" s="265"/>
      <c r="L167" s="265"/>
      <c r="M167" s="265"/>
      <c r="N167" s="265"/>
      <c r="O167" s="265"/>
      <c r="P167" s="265"/>
      <c r="Q167" s="265"/>
      <c r="R167" s="265"/>
      <c r="S167" s="265"/>
      <c r="T167" s="265"/>
      <c r="U167" s="265"/>
      <c r="V167" s="265"/>
      <c r="W167" s="265"/>
      <c r="X167" s="265"/>
      <c r="Y167" s="265"/>
      <c r="Z167" s="265"/>
      <c r="AA167" s="265"/>
      <c r="AB167" s="265"/>
      <c r="AC167" s="265"/>
      <c r="AD167" s="265"/>
      <c r="AE167" s="265"/>
      <c r="AF167" s="265"/>
      <c r="AG167" s="265"/>
      <c r="AH167" s="265"/>
      <c r="AI167" s="265"/>
      <c r="AJ167" s="265"/>
      <c r="AK167" s="265"/>
      <c r="AL167" s="265"/>
    </row>
    <row r="168" spans="1:44" s="18" customFormat="1" ht="46.15" customHeight="1" x14ac:dyDescent="0.1">
      <c r="A168" s="55"/>
      <c r="B168" s="55"/>
      <c r="C168" s="55"/>
      <c r="D168" s="232" t="s">
        <v>3704</v>
      </c>
      <c r="E168" s="232"/>
      <c r="F168" s="232"/>
      <c r="G168" s="232"/>
      <c r="H168" s="232"/>
      <c r="I168" s="232"/>
      <c r="J168" s="232"/>
      <c r="K168" s="232"/>
      <c r="L168" s="232"/>
      <c r="M168" s="232"/>
      <c r="N168" s="232"/>
      <c r="O168" s="232"/>
      <c r="P168" s="232"/>
      <c r="Q168" s="232"/>
      <c r="R168" s="232"/>
      <c r="S168" s="232"/>
      <c r="T168" s="232"/>
      <c r="U168" s="232"/>
      <c r="V168" s="232"/>
      <c r="W168" s="232"/>
      <c r="X168" s="232"/>
      <c r="Y168" s="232"/>
      <c r="Z168" s="232"/>
      <c r="AA168" s="232"/>
      <c r="AB168" s="232"/>
      <c r="AC168" s="232"/>
      <c r="AD168" s="232"/>
      <c r="AE168" s="232"/>
      <c r="AF168" s="232"/>
      <c r="AG168" s="232"/>
      <c r="AH168" s="232"/>
      <c r="AI168" s="232"/>
      <c r="AJ168" s="232"/>
      <c r="AK168" s="232"/>
      <c r="AL168" s="232"/>
    </row>
    <row r="169" spans="1:44" s="18" customFormat="1" ht="46.15" customHeight="1" x14ac:dyDescent="0.1">
      <c r="A169" s="55"/>
      <c r="B169" s="55"/>
      <c r="C169" s="55"/>
      <c r="D169" s="182"/>
      <c r="E169" s="182"/>
      <c r="F169" s="182"/>
      <c r="G169" s="182"/>
      <c r="H169" s="182"/>
      <c r="I169" s="182"/>
      <c r="J169" s="182"/>
      <c r="K169" s="182"/>
      <c r="L169" s="182"/>
      <c r="M169" s="182"/>
      <c r="N169" s="182"/>
      <c r="O169" s="182"/>
      <c r="P169" s="182"/>
      <c r="Q169" s="182"/>
      <c r="R169" s="182"/>
      <c r="S169" s="182"/>
      <c r="T169" s="182"/>
      <c r="U169" s="182"/>
      <c r="V169" s="182"/>
      <c r="W169" s="182"/>
      <c r="X169" s="182"/>
      <c r="Y169" s="182"/>
      <c r="Z169" s="182"/>
      <c r="AA169" s="182"/>
      <c r="AB169" s="182"/>
      <c r="AC169" s="182"/>
      <c r="AD169" s="182"/>
      <c r="AE169" s="182"/>
      <c r="AF169" s="182"/>
      <c r="AG169" s="182"/>
      <c r="AH169" s="182"/>
      <c r="AI169" s="182"/>
      <c r="AJ169" s="182"/>
      <c r="AK169" s="182"/>
      <c r="AL169" s="182"/>
    </row>
    <row r="170" spans="1:44" s="18" customFormat="1" ht="46.15" customHeight="1" x14ac:dyDescent="0.1">
      <c r="A170" s="55"/>
      <c r="B170" s="55"/>
      <c r="C170" s="55"/>
      <c r="D170" s="182"/>
      <c r="E170" s="182"/>
      <c r="F170" s="182"/>
      <c r="G170" s="182"/>
      <c r="H170" s="182"/>
      <c r="I170" s="182"/>
      <c r="J170" s="182"/>
      <c r="K170" s="182"/>
      <c r="L170" s="182"/>
      <c r="M170" s="182"/>
      <c r="N170" s="182"/>
      <c r="O170" s="182"/>
      <c r="P170" s="182"/>
      <c r="Q170" s="182"/>
      <c r="R170" s="182"/>
      <c r="S170" s="182"/>
      <c r="T170" s="182"/>
      <c r="U170" s="182"/>
      <c r="V170" s="182"/>
      <c r="W170" s="182"/>
      <c r="X170" s="182"/>
      <c r="Y170" s="182"/>
      <c r="Z170" s="182"/>
      <c r="AA170" s="182"/>
      <c r="AB170" s="182"/>
      <c r="AC170" s="182"/>
      <c r="AD170" s="182"/>
      <c r="AE170" s="182"/>
      <c r="AF170" s="182"/>
      <c r="AG170" s="182"/>
      <c r="AH170" s="182"/>
      <c r="AI170" s="182"/>
      <c r="AJ170" s="182"/>
      <c r="AK170" s="182"/>
      <c r="AL170" s="182"/>
    </row>
    <row r="171" spans="1:44" s="18" customFormat="1" ht="46.15" customHeight="1" x14ac:dyDescent="0.1">
      <c r="A171" s="55"/>
      <c r="B171" s="55"/>
      <c r="C171" s="55"/>
      <c r="D171" s="182"/>
      <c r="E171" s="182"/>
      <c r="F171" s="182"/>
      <c r="G171" s="182"/>
      <c r="H171" s="182"/>
      <c r="I171" s="182"/>
      <c r="J171" s="182"/>
      <c r="K171" s="182"/>
      <c r="L171" s="182"/>
      <c r="M171" s="182"/>
      <c r="N171" s="182"/>
      <c r="O171" s="182"/>
      <c r="P171" s="182"/>
      <c r="Q171" s="182"/>
      <c r="R171" s="182"/>
      <c r="S171" s="182"/>
      <c r="T171" s="182"/>
      <c r="U171" s="182"/>
      <c r="V171" s="182"/>
      <c r="W171" s="182"/>
      <c r="X171" s="182"/>
      <c r="Y171" s="182"/>
      <c r="Z171" s="182"/>
      <c r="AA171" s="182"/>
      <c r="AB171" s="182"/>
      <c r="AC171" s="182"/>
      <c r="AD171" s="182"/>
      <c r="AE171" s="182"/>
      <c r="AF171" s="182"/>
      <c r="AG171" s="182"/>
      <c r="AH171" s="182"/>
      <c r="AI171" s="182"/>
      <c r="AJ171" s="182"/>
      <c r="AK171" s="182"/>
      <c r="AL171" s="182"/>
    </row>
    <row r="172" spans="1:44" s="18" customFormat="1" ht="46.15" customHeight="1" x14ac:dyDescent="0.1">
      <c r="A172" s="55"/>
      <c r="B172" s="55"/>
      <c r="C172" s="55"/>
      <c r="D172" s="182"/>
      <c r="E172" s="182"/>
      <c r="F172" s="182"/>
      <c r="G172" s="182"/>
      <c r="H172" s="182"/>
      <c r="I172" s="182"/>
      <c r="J172" s="182"/>
      <c r="K172" s="182"/>
      <c r="L172" s="182"/>
      <c r="M172" s="182"/>
      <c r="N172" s="182"/>
      <c r="O172" s="182"/>
      <c r="P172" s="182"/>
      <c r="Q172" s="182"/>
      <c r="R172" s="182"/>
      <c r="S172" s="182"/>
      <c r="T172" s="182"/>
      <c r="U172" s="182"/>
      <c r="V172" s="182"/>
      <c r="W172" s="182"/>
      <c r="X172" s="182"/>
      <c r="Y172" s="182"/>
      <c r="Z172" s="182"/>
      <c r="AA172" s="182"/>
      <c r="AB172" s="182"/>
      <c r="AC172" s="182"/>
      <c r="AD172" s="182"/>
      <c r="AE172" s="182"/>
      <c r="AF172" s="182"/>
      <c r="AG172" s="182"/>
      <c r="AH172" s="182"/>
      <c r="AI172" s="182"/>
      <c r="AJ172" s="182"/>
      <c r="AK172" s="182"/>
      <c r="AL172" s="182"/>
    </row>
    <row r="173" spans="1:44" ht="15.6" customHeight="1" thickBot="1" x14ac:dyDescent="0.15">
      <c r="D173" s="266" t="s">
        <v>3666</v>
      </c>
      <c r="E173" s="267"/>
      <c r="F173" s="267"/>
      <c r="G173" s="268"/>
      <c r="H173" s="269">
        <v>1</v>
      </c>
      <c r="I173" s="270"/>
      <c r="J173" s="270"/>
      <c r="K173" s="270"/>
      <c r="L173" s="270"/>
      <c r="M173" s="271"/>
      <c r="N173" s="269">
        <v>2</v>
      </c>
      <c r="O173" s="270"/>
      <c r="P173" s="270"/>
      <c r="Q173" s="270"/>
      <c r="R173" s="270"/>
      <c r="S173" s="271"/>
      <c r="T173" s="269">
        <v>3</v>
      </c>
      <c r="U173" s="270"/>
      <c r="V173" s="270"/>
      <c r="W173" s="270"/>
      <c r="X173" s="270"/>
      <c r="Y173" s="271"/>
      <c r="Z173" s="269">
        <v>4</v>
      </c>
      <c r="AA173" s="270"/>
      <c r="AB173" s="270"/>
      <c r="AC173" s="270"/>
      <c r="AD173" s="270"/>
      <c r="AE173" s="271"/>
      <c r="AF173" s="269">
        <v>5</v>
      </c>
      <c r="AG173" s="270"/>
      <c r="AH173" s="270"/>
      <c r="AI173" s="270"/>
      <c r="AJ173" s="270"/>
      <c r="AK173" s="271"/>
    </row>
    <row r="174" spans="1:44" ht="98.65" customHeight="1" thickBot="1" x14ac:dyDescent="0.15">
      <c r="D174" s="285" t="s">
        <v>66</v>
      </c>
      <c r="E174" s="286"/>
      <c r="F174" s="286"/>
      <c r="G174" s="287"/>
      <c r="H174" s="260"/>
      <c r="I174" s="261"/>
      <c r="J174" s="261"/>
      <c r="K174" s="261"/>
      <c r="L174" s="261"/>
      <c r="M174" s="264"/>
      <c r="N174" s="260"/>
      <c r="O174" s="261"/>
      <c r="P174" s="261"/>
      <c r="Q174" s="261"/>
      <c r="R174" s="261"/>
      <c r="S174" s="264"/>
      <c r="T174" s="260"/>
      <c r="U174" s="261"/>
      <c r="V174" s="261"/>
      <c r="W174" s="262"/>
      <c r="X174" s="262"/>
      <c r="Y174" s="263"/>
      <c r="Z174" s="260"/>
      <c r="AA174" s="261"/>
      <c r="AB174" s="261"/>
      <c r="AC174" s="261"/>
      <c r="AD174" s="261"/>
      <c r="AE174" s="264"/>
      <c r="AF174" s="260"/>
      <c r="AG174" s="261"/>
      <c r="AH174" s="261"/>
      <c r="AI174" s="261"/>
      <c r="AJ174" s="261"/>
      <c r="AK174" s="264"/>
      <c r="AN174" s="63">
        <f>COUNTA(H174:AK174)</f>
        <v>0</v>
      </c>
    </row>
    <row r="175" spans="1:44" ht="28.35" customHeight="1" x14ac:dyDescent="0.1">
      <c r="D175" s="272" t="s">
        <v>67</v>
      </c>
      <c r="E175" s="273"/>
      <c r="F175" s="276" t="s">
        <v>68</v>
      </c>
      <c r="G175" s="277"/>
      <c r="H175" s="64"/>
      <c r="I175" s="65" t="s">
        <v>2</v>
      </c>
      <c r="J175" s="66"/>
      <c r="K175" s="65" t="s">
        <v>69</v>
      </c>
      <c r="L175" s="66"/>
      <c r="M175" s="67" t="s">
        <v>70</v>
      </c>
      <c r="N175" s="64"/>
      <c r="O175" s="65" t="s">
        <v>2</v>
      </c>
      <c r="P175" s="66"/>
      <c r="Q175" s="65" t="s">
        <v>69</v>
      </c>
      <c r="R175" s="66"/>
      <c r="S175" s="67" t="s">
        <v>70</v>
      </c>
      <c r="T175" s="64"/>
      <c r="U175" s="65" t="s">
        <v>2</v>
      </c>
      <c r="V175" s="66"/>
      <c r="W175" s="65" t="s">
        <v>69</v>
      </c>
      <c r="X175" s="66"/>
      <c r="Y175" s="67" t="s">
        <v>70</v>
      </c>
      <c r="Z175" s="64"/>
      <c r="AA175" s="65" t="s">
        <v>2</v>
      </c>
      <c r="AB175" s="66"/>
      <c r="AC175" s="65" t="s">
        <v>69</v>
      </c>
      <c r="AD175" s="66"/>
      <c r="AE175" s="67" t="s">
        <v>70</v>
      </c>
      <c r="AF175" s="64"/>
      <c r="AG175" s="65" t="s">
        <v>2</v>
      </c>
      <c r="AH175" s="66"/>
      <c r="AI175" s="65" t="s">
        <v>69</v>
      </c>
      <c r="AJ175" s="66"/>
      <c r="AK175" s="67" t="s">
        <v>70</v>
      </c>
    </row>
    <row r="176" spans="1:44" s="9" customFormat="1" ht="28.35" customHeight="1" x14ac:dyDescent="0.1">
      <c r="C176" s="62"/>
      <c r="D176" s="274"/>
      <c r="E176" s="275"/>
      <c r="F176" s="278" t="s">
        <v>71</v>
      </c>
      <c r="G176" s="279"/>
      <c r="H176" s="68"/>
      <c r="I176" s="69" t="s">
        <v>2</v>
      </c>
      <c r="J176" s="70"/>
      <c r="K176" s="69" t="s">
        <v>69</v>
      </c>
      <c r="L176" s="70"/>
      <c r="M176" s="71" t="s">
        <v>70</v>
      </c>
      <c r="N176" s="68"/>
      <c r="O176" s="69" t="s">
        <v>2</v>
      </c>
      <c r="P176" s="70"/>
      <c r="Q176" s="69" t="s">
        <v>69</v>
      </c>
      <c r="R176" s="70"/>
      <c r="S176" s="71" t="s">
        <v>70</v>
      </c>
      <c r="T176" s="68"/>
      <c r="U176" s="69" t="s">
        <v>2</v>
      </c>
      <c r="V176" s="70"/>
      <c r="W176" s="69" t="s">
        <v>69</v>
      </c>
      <c r="X176" s="70"/>
      <c r="Y176" s="71" t="s">
        <v>70</v>
      </c>
      <c r="Z176" s="68"/>
      <c r="AA176" s="69" t="s">
        <v>2</v>
      </c>
      <c r="AB176" s="70"/>
      <c r="AC176" s="69" t="s">
        <v>69</v>
      </c>
      <c r="AD176" s="70"/>
      <c r="AE176" s="71" t="s">
        <v>70</v>
      </c>
      <c r="AF176" s="68"/>
      <c r="AG176" s="69" t="s">
        <v>2</v>
      </c>
      <c r="AH176" s="70"/>
      <c r="AI176" s="69" t="s">
        <v>69</v>
      </c>
      <c r="AJ176" s="70"/>
      <c r="AK176" s="71" t="s">
        <v>70</v>
      </c>
      <c r="AN176" s="72" t="s">
        <v>3663</v>
      </c>
      <c r="AO176" s="73" t="s">
        <v>3667</v>
      </c>
      <c r="AP176" s="73" t="s">
        <v>3668</v>
      </c>
      <c r="AQ176" s="73" t="s">
        <v>3669</v>
      </c>
      <c r="AR176" s="72" t="s">
        <v>3670</v>
      </c>
    </row>
    <row r="177" spans="1:44" ht="51" customHeight="1" x14ac:dyDescent="0.1">
      <c r="D177" s="280" t="s">
        <v>3705</v>
      </c>
      <c r="E177" s="281"/>
      <c r="F177" s="281"/>
      <c r="G177" s="282"/>
      <c r="H177" s="283"/>
      <c r="I177" s="284"/>
      <c r="J177" s="284"/>
      <c r="K177" s="284"/>
      <c r="L177" s="284"/>
      <c r="M177" s="74" t="s">
        <v>1</v>
      </c>
      <c r="N177" s="283"/>
      <c r="O177" s="284"/>
      <c r="P177" s="284"/>
      <c r="Q177" s="284"/>
      <c r="R177" s="284"/>
      <c r="S177" s="74" t="s">
        <v>1</v>
      </c>
      <c r="T177" s="283"/>
      <c r="U177" s="284"/>
      <c r="V177" s="284"/>
      <c r="W177" s="284"/>
      <c r="X177" s="284"/>
      <c r="Y177" s="74" t="s">
        <v>1</v>
      </c>
      <c r="Z177" s="283"/>
      <c r="AA177" s="284"/>
      <c r="AB177" s="284"/>
      <c r="AC177" s="284"/>
      <c r="AD177" s="284"/>
      <c r="AE177" s="74" t="s">
        <v>1</v>
      </c>
      <c r="AF177" s="283"/>
      <c r="AG177" s="284"/>
      <c r="AH177" s="284"/>
      <c r="AI177" s="284"/>
      <c r="AJ177" s="284"/>
      <c r="AK177" s="74" t="s">
        <v>1</v>
      </c>
      <c r="AN177" s="75">
        <f>SUM(H177,N177,T177,Z177,AF177)</f>
        <v>0</v>
      </c>
      <c r="AO177" s="76">
        <f ca="1">SUMIF(H185:AK185,"３割超",H177:AJ177)</f>
        <v>0</v>
      </c>
      <c r="AP177" s="76">
        <f ca="1">SUMIF(H185:AK185,"地場以外",H177:AJ177)</f>
        <v>0</v>
      </c>
      <c r="AQ177" s="76">
        <f ca="1">SUMIF(H185:AK185,"両方",H177:AJ177)</f>
        <v>0</v>
      </c>
      <c r="AR177" s="76">
        <f ca="1">SUMIF(H185:AK185,"問題なし",H177:AJ177)</f>
        <v>0</v>
      </c>
    </row>
    <row r="178" spans="1:44" ht="15.6" customHeight="1" x14ac:dyDescent="0.1">
      <c r="D178" s="293" t="s">
        <v>3671</v>
      </c>
      <c r="E178" s="294"/>
      <c r="F178" s="294"/>
      <c r="G178" s="295"/>
      <c r="H178" s="296" t="e">
        <f>(H177/$I$15)</f>
        <v>#DIV/0!</v>
      </c>
      <c r="I178" s="297"/>
      <c r="J178" s="297"/>
      <c r="K178" s="297"/>
      <c r="L178" s="297"/>
      <c r="M178" s="298"/>
      <c r="N178" s="296" t="e">
        <f>(N177/$I$15)</f>
        <v>#DIV/0!</v>
      </c>
      <c r="O178" s="297"/>
      <c r="P178" s="297"/>
      <c r="Q178" s="297"/>
      <c r="R178" s="297"/>
      <c r="S178" s="298"/>
      <c r="T178" s="296" t="e">
        <f>(T177/$I$15)</f>
        <v>#DIV/0!</v>
      </c>
      <c r="U178" s="297"/>
      <c r="V178" s="297"/>
      <c r="W178" s="297"/>
      <c r="X178" s="297"/>
      <c r="Y178" s="298"/>
      <c r="Z178" s="296" t="e">
        <f>(Z177/$I$15)</f>
        <v>#DIV/0!</v>
      </c>
      <c r="AA178" s="297"/>
      <c r="AB178" s="297"/>
      <c r="AC178" s="297"/>
      <c r="AD178" s="297"/>
      <c r="AE178" s="298"/>
      <c r="AF178" s="296" t="e">
        <f>(AF177/$I$15)</f>
        <v>#DIV/0!</v>
      </c>
      <c r="AG178" s="297"/>
      <c r="AH178" s="297"/>
      <c r="AI178" s="297"/>
      <c r="AJ178" s="297"/>
      <c r="AK178" s="298"/>
      <c r="AN178" s="77">
        <f ca="1">SUM(AO177:AR177)</f>
        <v>0</v>
      </c>
    </row>
    <row r="179" spans="1:44" ht="24" customHeight="1" x14ac:dyDescent="0.1">
      <c r="D179" s="288" t="s">
        <v>72</v>
      </c>
      <c r="E179" s="289"/>
      <c r="F179" s="289"/>
      <c r="G179" s="290"/>
      <c r="H179" s="291"/>
      <c r="I179" s="292"/>
      <c r="J179" s="292"/>
      <c r="K179" s="292"/>
      <c r="L179" s="292"/>
      <c r="M179" s="78" t="s">
        <v>1</v>
      </c>
      <c r="N179" s="291"/>
      <c r="O179" s="292"/>
      <c r="P179" s="292"/>
      <c r="Q179" s="292"/>
      <c r="R179" s="292"/>
      <c r="S179" s="78" t="s">
        <v>1</v>
      </c>
      <c r="T179" s="291"/>
      <c r="U179" s="292"/>
      <c r="V179" s="292"/>
      <c r="W179" s="292"/>
      <c r="X179" s="292"/>
      <c r="Y179" s="78" t="s">
        <v>1</v>
      </c>
      <c r="Z179" s="291"/>
      <c r="AA179" s="292"/>
      <c r="AB179" s="292"/>
      <c r="AC179" s="292"/>
      <c r="AD179" s="292"/>
      <c r="AE179" s="78" t="s">
        <v>1</v>
      </c>
      <c r="AF179" s="291"/>
      <c r="AG179" s="292"/>
      <c r="AH179" s="292"/>
      <c r="AI179" s="292"/>
      <c r="AJ179" s="292"/>
      <c r="AK179" s="78" t="s">
        <v>1</v>
      </c>
    </row>
    <row r="180" spans="1:44" ht="24" customHeight="1" x14ac:dyDescent="0.1">
      <c r="D180" s="305" t="s">
        <v>73</v>
      </c>
      <c r="E180" s="306"/>
      <c r="F180" s="306"/>
      <c r="G180" s="307"/>
      <c r="H180" s="308"/>
      <c r="I180" s="309"/>
      <c r="J180" s="309"/>
      <c r="K180" s="309"/>
      <c r="L180" s="309"/>
      <c r="M180" s="79" t="s">
        <v>1</v>
      </c>
      <c r="N180" s="308"/>
      <c r="O180" s="309"/>
      <c r="P180" s="309"/>
      <c r="Q180" s="309"/>
      <c r="R180" s="309"/>
      <c r="S180" s="79" t="s">
        <v>1</v>
      </c>
      <c r="T180" s="308"/>
      <c r="U180" s="309"/>
      <c r="V180" s="309"/>
      <c r="W180" s="309"/>
      <c r="X180" s="309"/>
      <c r="Y180" s="79" t="s">
        <v>1</v>
      </c>
      <c r="Z180" s="308"/>
      <c r="AA180" s="309"/>
      <c r="AB180" s="309"/>
      <c r="AC180" s="309"/>
      <c r="AD180" s="309"/>
      <c r="AE180" s="79" t="s">
        <v>1</v>
      </c>
      <c r="AF180" s="308"/>
      <c r="AG180" s="309"/>
      <c r="AH180" s="309"/>
      <c r="AI180" s="309"/>
      <c r="AJ180" s="309"/>
      <c r="AK180" s="79" t="s">
        <v>1</v>
      </c>
    </row>
    <row r="181" spans="1:44" ht="57.6" customHeight="1" x14ac:dyDescent="0.1">
      <c r="C181" s="80" t="s">
        <v>0</v>
      </c>
      <c r="D181" s="299" t="s">
        <v>0</v>
      </c>
      <c r="E181" s="300"/>
      <c r="F181" s="300"/>
      <c r="G181" s="301"/>
      <c r="H181" s="302">
        <f>IFERROR(H180/H179,)</f>
        <v>0</v>
      </c>
      <c r="I181" s="303"/>
      <c r="J181" s="303"/>
      <c r="K181" s="303"/>
      <c r="L181" s="303"/>
      <c r="M181" s="304"/>
      <c r="N181" s="302">
        <f>IFERROR(N180/N179,)</f>
        <v>0</v>
      </c>
      <c r="O181" s="303"/>
      <c r="P181" s="303"/>
      <c r="Q181" s="303"/>
      <c r="R181" s="303"/>
      <c r="S181" s="304"/>
      <c r="T181" s="302">
        <f>IFERROR(T180/T179,)</f>
        <v>0</v>
      </c>
      <c r="U181" s="303"/>
      <c r="V181" s="303"/>
      <c r="W181" s="303"/>
      <c r="X181" s="303"/>
      <c r="Y181" s="304"/>
      <c r="Z181" s="302">
        <f>IFERROR(Z180/Z179,)</f>
        <v>0</v>
      </c>
      <c r="AA181" s="303"/>
      <c r="AB181" s="303"/>
      <c r="AC181" s="303"/>
      <c r="AD181" s="303"/>
      <c r="AE181" s="304"/>
      <c r="AF181" s="302">
        <f>IFERROR(AF180/AF179,)</f>
        <v>0</v>
      </c>
      <c r="AG181" s="303"/>
      <c r="AH181" s="303"/>
      <c r="AI181" s="303"/>
      <c r="AJ181" s="303"/>
      <c r="AK181" s="304"/>
      <c r="AN181" s="81">
        <f>SUM(IF(H181&gt;30%,1,0),IF(N181&gt;30%,1,0),IF(T181&gt;30%,1,0),IF(Z181&gt;30%,1,0),IF(AF181&gt;30%,1,0))</f>
        <v>0</v>
      </c>
    </row>
    <row r="182" spans="1:44" ht="22.35" customHeight="1" x14ac:dyDescent="0.1">
      <c r="C182" s="319" t="s">
        <v>3672</v>
      </c>
      <c r="D182" s="299" t="s">
        <v>3673</v>
      </c>
      <c r="E182" s="300"/>
      <c r="F182" s="300"/>
      <c r="G182" s="301"/>
      <c r="H182" s="310"/>
      <c r="I182" s="311"/>
      <c r="J182" s="311"/>
      <c r="K182" s="311"/>
      <c r="L182" s="311"/>
      <c r="M182" s="312"/>
      <c r="N182" s="310"/>
      <c r="O182" s="311"/>
      <c r="P182" s="311"/>
      <c r="Q182" s="311"/>
      <c r="R182" s="311"/>
      <c r="S182" s="312"/>
      <c r="T182" s="310"/>
      <c r="U182" s="311"/>
      <c r="V182" s="311"/>
      <c r="W182" s="311"/>
      <c r="X182" s="311"/>
      <c r="Y182" s="312"/>
      <c r="Z182" s="310"/>
      <c r="AA182" s="311"/>
      <c r="AB182" s="311"/>
      <c r="AC182" s="311"/>
      <c r="AD182" s="311"/>
      <c r="AE182" s="312"/>
      <c r="AF182" s="310"/>
      <c r="AG182" s="311"/>
      <c r="AH182" s="311"/>
      <c r="AI182" s="311"/>
      <c r="AJ182" s="311"/>
      <c r="AK182" s="312"/>
      <c r="AN182" s="81">
        <f>SUM(IF(H182="地場産品以外",1,0),IF(N182="地場産品以外",1,0),IF(T182="地場産品以外",1,0),IF(Z182="地場産品以外",1,0),IF(AF182="地場産品以外",1,0))</f>
        <v>0</v>
      </c>
    </row>
    <row r="183" spans="1:44" ht="30.6" customHeight="1" x14ac:dyDescent="0.1">
      <c r="C183" s="320"/>
      <c r="D183" s="313" t="s">
        <v>3706</v>
      </c>
      <c r="E183" s="314"/>
      <c r="F183" s="314"/>
      <c r="G183" s="315"/>
      <c r="H183" s="316"/>
      <c r="I183" s="317"/>
      <c r="J183" s="317"/>
      <c r="K183" s="317"/>
      <c r="L183" s="317"/>
      <c r="M183" s="318"/>
      <c r="N183" s="316"/>
      <c r="O183" s="317"/>
      <c r="P183" s="317"/>
      <c r="Q183" s="317"/>
      <c r="R183" s="317"/>
      <c r="S183" s="318"/>
      <c r="T183" s="316"/>
      <c r="U183" s="317"/>
      <c r="V183" s="317"/>
      <c r="W183" s="317"/>
      <c r="X183" s="317"/>
      <c r="Y183" s="318"/>
      <c r="Z183" s="316"/>
      <c r="AA183" s="317"/>
      <c r="AB183" s="317"/>
      <c r="AC183" s="317"/>
      <c r="AD183" s="317"/>
      <c r="AE183" s="318"/>
      <c r="AF183" s="316"/>
      <c r="AG183" s="317"/>
      <c r="AH183" s="317"/>
      <c r="AI183" s="317"/>
      <c r="AJ183" s="317"/>
      <c r="AK183" s="318"/>
    </row>
    <row r="184" spans="1:44" ht="94.9" customHeight="1" x14ac:dyDescent="0.1">
      <c r="C184" s="321"/>
      <c r="D184" s="305" t="s">
        <v>3707</v>
      </c>
      <c r="E184" s="306"/>
      <c r="F184" s="306"/>
      <c r="G184" s="307"/>
      <c r="H184" s="322"/>
      <c r="I184" s="323"/>
      <c r="J184" s="323"/>
      <c r="K184" s="323"/>
      <c r="L184" s="323"/>
      <c r="M184" s="324"/>
      <c r="N184" s="322"/>
      <c r="O184" s="323"/>
      <c r="P184" s="323"/>
      <c r="Q184" s="323"/>
      <c r="R184" s="323"/>
      <c r="S184" s="324"/>
      <c r="T184" s="322"/>
      <c r="U184" s="323"/>
      <c r="V184" s="323"/>
      <c r="W184" s="323"/>
      <c r="X184" s="323"/>
      <c r="Y184" s="324"/>
      <c r="Z184" s="322"/>
      <c r="AA184" s="323"/>
      <c r="AB184" s="323"/>
      <c r="AC184" s="323"/>
      <c r="AD184" s="323"/>
      <c r="AE184" s="324"/>
      <c r="AF184" s="322"/>
      <c r="AG184" s="323"/>
      <c r="AH184" s="323"/>
      <c r="AI184" s="323"/>
      <c r="AJ184" s="323"/>
      <c r="AK184" s="324"/>
    </row>
    <row r="185" spans="1:44" ht="15.6" hidden="1" customHeight="1" x14ac:dyDescent="0.1">
      <c r="C185" s="82"/>
      <c r="D185" s="336" t="s">
        <v>3674</v>
      </c>
      <c r="E185" s="336"/>
      <c r="F185" s="336"/>
      <c r="G185" s="336"/>
      <c r="H185" s="337" t="str">
        <f>IF(AND(H181&gt;0.3,H182="地場産品"),"３割超",IF(AND(H181&lt;=0.3,H182="地場産品以外"),"地場以外",IF(AND(H181&gt;0.3,H182="地場産品以外"),"両方","問題なし")))</f>
        <v>問題なし</v>
      </c>
      <c r="I185" s="338"/>
      <c r="J185" s="338"/>
      <c r="K185" s="338"/>
      <c r="L185" s="338"/>
      <c r="M185" s="339"/>
      <c r="N185" s="337" t="str">
        <f>IF(AND(N181&gt;0.3,N182="地場産品"),"３割超",IF(AND(N181&lt;=0.3,N182="地場産品以外"),"地場以外",IF(AND(N181&gt;0.3,N182="地場産品以外"),"両方","問題なし")))</f>
        <v>問題なし</v>
      </c>
      <c r="O185" s="338"/>
      <c r="P185" s="338"/>
      <c r="Q185" s="338"/>
      <c r="R185" s="338"/>
      <c r="S185" s="339"/>
      <c r="T185" s="337" t="str">
        <f>IF(AND(T181&gt;0.3,T182="地場産品"),"３割超",IF(AND(T181&lt;=0.3,T182="地場産品以外"),"地場以外",IF(AND(T181&gt;0.3,T182="地場産品以外"),"両方","問題なし")))</f>
        <v>問題なし</v>
      </c>
      <c r="U185" s="338"/>
      <c r="V185" s="338"/>
      <c r="W185" s="338"/>
      <c r="X185" s="338"/>
      <c r="Y185" s="339"/>
      <c r="Z185" s="337" t="str">
        <f>IF(AND(Z181&gt;0.3,Z182="地場産品"),"３割超",IF(AND(Z181&lt;=0.3,Z182="地場産品以外"),"地場以外",IF(AND(Z181&gt;0.3,Z182="地場産品以外"),"両方","問題なし")))</f>
        <v>問題なし</v>
      </c>
      <c r="AA185" s="338"/>
      <c r="AB185" s="338"/>
      <c r="AC185" s="338"/>
      <c r="AD185" s="338"/>
      <c r="AE185" s="339"/>
      <c r="AF185" s="337" t="str">
        <f>IF(AND(AF181&gt;0.3,AF182="地場産品"),"３割超",IF(AND(AF181&lt;=0.3,AF182="地場産品以外"),"地場以外",IF(AND(AF181&gt;0.3,AF182="地場産品以外"),"両方","問題なし")))</f>
        <v>問題なし</v>
      </c>
      <c r="AG185" s="338"/>
      <c r="AH185" s="338"/>
      <c r="AI185" s="338"/>
      <c r="AJ185" s="338"/>
      <c r="AK185" s="339"/>
      <c r="AL185" s="7" t="s">
        <v>3675</v>
      </c>
      <c r="AN185" s="83">
        <f>SUM(AO185:AR185)</f>
        <v>0</v>
      </c>
      <c r="AO185" s="83">
        <f>COUNTIF(H185:AK185,#REF!)</f>
        <v>0</v>
      </c>
      <c r="AP185" s="83">
        <f>COUNTIF(H185:AK185,#REF!)</f>
        <v>0</v>
      </c>
      <c r="AQ185" s="83">
        <f>COUNTIF(H185:AK185,#REF!)</f>
        <v>0</v>
      </c>
      <c r="AR185" s="83">
        <f>COUNTIF(H185:AK185,#REF!)</f>
        <v>0</v>
      </c>
    </row>
    <row r="186" spans="1:44" s="15" customFormat="1" ht="15.6" customHeight="1" x14ac:dyDescent="0.1">
      <c r="C186" s="82"/>
      <c r="D186" s="84"/>
      <c r="E186" s="84"/>
      <c r="F186" s="84"/>
      <c r="G186" s="84"/>
      <c r="H186" s="85"/>
      <c r="I186" s="86"/>
      <c r="J186" s="86"/>
      <c r="K186" s="86"/>
      <c r="L186" s="86"/>
      <c r="M186" s="86"/>
      <c r="N186" s="85"/>
      <c r="O186" s="86"/>
      <c r="P186" s="86"/>
      <c r="Q186" s="86"/>
      <c r="R186" s="86"/>
      <c r="S186" s="86"/>
      <c r="T186" s="85"/>
      <c r="U186" s="86"/>
      <c r="V186" s="86"/>
      <c r="W186" s="86"/>
      <c r="X186" s="86"/>
      <c r="Y186" s="86"/>
      <c r="Z186" s="85"/>
      <c r="AA186" s="86"/>
      <c r="AB186" s="86"/>
      <c r="AC186" s="86"/>
      <c r="AD186" s="86"/>
      <c r="AE186" s="86"/>
      <c r="AF186" s="85"/>
      <c r="AG186" s="86"/>
      <c r="AH186" s="86"/>
      <c r="AI186" s="86"/>
      <c r="AJ186" s="86"/>
      <c r="AK186" s="86"/>
      <c r="AN186" s="46"/>
      <c r="AO186" s="46"/>
      <c r="AP186" s="46"/>
      <c r="AQ186" s="46"/>
      <c r="AR186" s="46"/>
    </row>
    <row r="188" spans="1:44" s="18" customFormat="1" ht="31.35" customHeight="1" x14ac:dyDescent="0.1">
      <c r="C188" s="28"/>
      <c r="D188" s="40"/>
      <c r="E188" s="40"/>
      <c r="F188" s="40"/>
      <c r="G188" s="40"/>
    </row>
    <row r="189" spans="1:44" s="18" customFormat="1" ht="36.6" customHeight="1" x14ac:dyDescent="0.1">
      <c r="A189" s="35"/>
      <c r="B189" s="35"/>
      <c r="D189" s="325" t="s">
        <v>3708</v>
      </c>
      <c r="E189" s="326"/>
      <c r="F189" s="326"/>
      <c r="G189" s="326"/>
      <c r="H189" s="326"/>
      <c r="I189" s="326"/>
      <c r="J189" s="326"/>
      <c r="K189" s="326"/>
      <c r="L189" s="326"/>
      <c r="M189" s="326"/>
      <c r="N189" s="326"/>
      <c r="O189" s="326"/>
      <c r="P189" s="326"/>
      <c r="Q189" s="326"/>
      <c r="R189" s="326"/>
      <c r="S189" s="326"/>
      <c r="T189" s="326"/>
      <c r="U189" s="326"/>
      <c r="V189" s="326"/>
      <c r="W189" s="326"/>
      <c r="X189" s="326"/>
      <c r="Y189" s="326"/>
      <c r="Z189" s="326"/>
      <c r="AA189" s="326"/>
      <c r="AB189" s="326"/>
      <c r="AC189" s="326"/>
      <c r="AD189" s="326"/>
      <c r="AE189" s="326"/>
      <c r="AF189" s="326"/>
      <c r="AG189" s="326"/>
      <c r="AH189" s="326"/>
      <c r="AI189" s="326"/>
      <c r="AJ189" s="326"/>
      <c r="AK189" s="326"/>
      <c r="AL189" s="326"/>
    </row>
    <row r="190" spans="1:44" s="18" customFormat="1" ht="36.6" customHeight="1" x14ac:dyDescent="0.1">
      <c r="A190" s="35"/>
      <c r="B190" s="35"/>
      <c r="D190" s="326"/>
      <c r="E190" s="326"/>
      <c r="F190" s="326"/>
      <c r="G190" s="326"/>
      <c r="H190" s="326"/>
      <c r="I190" s="326"/>
      <c r="J190" s="326"/>
      <c r="K190" s="326"/>
      <c r="L190" s="326"/>
      <c r="M190" s="326"/>
      <c r="N190" s="326"/>
      <c r="O190" s="326"/>
      <c r="P190" s="326"/>
      <c r="Q190" s="326"/>
      <c r="R190" s="326"/>
      <c r="S190" s="326"/>
      <c r="T190" s="326"/>
      <c r="U190" s="326"/>
      <c r="V190" s="326"/>
      <c r="W190" s="326"/>
      <c r="X190" s="326"/>
      <c r="Y190" s="326"/>
      <c r="Z190" s="326"/>
      <c r="AA190" s="326"/>
      <c r="AB190" s="326"/>
      <c r="AC190" s="326"/>
      <c r="AD190" s="326"/>
      <c r="AE190" s="326"/>
      <c r="AF190" s="326"/>
      <c r="AG190" s="326"/>
      <c r="AH190" s="326"/>
      <c r="AI190" s="326"/>
      <c r="AJ190" s="326"/>
      <c r="AK190" s="326"/>
      <c r="AL190" s="326"/>
    </row>
    <row r="191" spans="1:44" s="18" customFormat="1" ht="36.6" customHeight="1" x14ac:dyDescent="0.1">
      <c r="A191" s="35"/>
      <c r="B191" s="35"/>
      <c r="D191" s="87" t="s">
        <v>3676</v>
      </c>
      <c r="E191" s="37"/>
      <c r="F191" s="37"/>
      <c r="G191" s="88"/>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row>
    <row r="192" spans="1:44" s="18" customFormat="1" ht="21" customHeight="1" x14ac:dyDescent="0.1">
      <c r="A192" s="35"/>
      <c r="B192" s="35"/>
      <c r="D192" s="87"/>
      <c r="E192" s="37"/>
      <c r="F192" s="37"/>
      <c r="G192" s="37"/>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row>
    <row r="193" spans="1:44" s="18" customFormat="1" ht="36.6" customHeight="1" x14ac:dyDescent="0.1">
      <c r="A193" s="35"/>
      <c r="B193" s="89"/>
      <c r="C193" s="28"/>
      <c r="D193" s="90" t="s">
        <v>3709</v>
      </c>
      <c r="E193" s="51"/>
      <c r="F193" s="51"/>
      <c r="G193" s="51"/>
      <c r="H193" s="89"/>
      <c r="I193" s="89"/>
      <c r="J193" s="89"/>
      <c r="K193" s="89"/>
      <c r="L193" s="89"/>
      <c r="M193" s="89"/>
      <c r="N193" s="89"/>
      <c r="O193" s="89"/>
      <c r="P193" s="89"/>
      <c r="Q193" s="89"/>
      <c r="R193" s="89"/>
      <c r="S193" s="89"/>
      <c r="T193" s="89"/>
      <c r="U193" s="89"/>
      <c r="V193" s="89"/>
      <c r="W193" s="89"/>
      <c r="X193" s="89"/>
      <c r="Y193" s="89"/>
      <c r="Z193" s="89"/>
      <c r="AA193" s="89"/>
      <c r="AB193" s="89"/>
      <c r="AC193" s="89"/>
      <c r="AD193" s="89"/>
      <c r="AE193" s="89"/>
      <c r="AF193" s="89"/>
      <c r="AG193" s="89"/>
      <c r="AH193" s="89"/>
      <c r="AI193" s="89"/>
      <c r="AJ193" s="89"/>
      <c r="AK193" s="89"/>
      <c r="AL193" s="89"/>
    </row>
    <row r="194" spans="1:44" s="18" customFormat="1" ht="46.5" customHeight="1" x14ac:dyDescent="0.1">
      <c r="A194" s="35"/>
      <c r="B194" s="89"/>
      <c r="C194" s="89"/>
      <c r="D194" s="173" t="s">
        <v>3710</v>
      </c>
      <c r="E194" s="327"/>
      <c r="F194" s="327"/>
      <c r="G194" s="327"/>
      <c r="H194" s="327"/>
      <c r="I194" s="328"/>
      <c r="J194" s="329" t="s">
        <v>3711</v>
      </c>
      <c r="K194" s="330"/>
      <c r="L194" s="330"/>
      <c r="M194" s="330"/>
      <c r="N194" s="330"/>
      <c r="O194" s="331"/>
      <c r="P194" s="91"/>
      <c r="Q194" s="26"/>
      <c r="R194" s="26"/>
      <c r="S194" s="26"/>
      <c r="T194" s="26"/>
      <c r="U194" s="26"/>
      <c r="V194" s="89"/>
      <c r="W194" s="89"/>
      <c r="X194" s="89"/>
      <c r="Y194" s="89"/>
      <c r="Z194" s="89"/>
      <c r="AA194" s="89"/>
      <c r="AB194" s="89"/>
    </row>
    <row r="195" spans="1:44" s="18" customFormat="1" ht="24" customHeight="1" x14ac:dyDescent="0.1">
      <c r="A195" s="35"/>
      <c r="B195" s="89"/>
      <c r="C195" s="89"/>
      <c r="D195" s="332" t="s">
        <v>3677</v>
      </c>
      <c r="E195" s="333"/>
      <c r="F195" s="333"/>
      <c r="G195" s="333"/>
      <c r="H195" s="333"/>
      <c r="I195" s="333"/>
      <c r="J195" s="330"/>
      <c r="K195" s="330"/>
      <c r="L195" s="330"/>
      <c r="M195" s="330"/>
      <c r="N195" s="330"/>
      <c r="O195" s="330"/>
      <c r="P195" s="92"/>
      <c r="Q195" s="26"/>
      <c r="R195" s="26"/>
      <c r="S195" s="26"/>
      <c r="T195" s="26"/>
      <c r="U195" s="26"/>
      <c r="V195" s="93"/>
      <c r="W195" s="93"/>
      <c r="X195" s="93"/>
      <c r="Y195" s="89"/>
      <c r="Z195" s="89"/>
      <c r="AA195" s="89"/>
      <c r="AB195" s="89"/>
    </row>
    <row r="196" spans="1:44" s="18" customFormat="1" ht="37.35" customHeight="1" x14ac:dyDescent="0.1">
      <c r="A196" s="35"/>
      <c r="B196" s="89"/>
      <c r="C196" s="89"/>
      <c r="D196" s="334"/>
      <c r="E196" s="334"/>
      <c r="F196" s="334"/>
      <c r="G196" s="334"/>
      <c r="H196" s="334"/>
      <c r="I196" s="334"/>
      <c r="J196" s="335" t="e">
        <f>D196/$I$15</f>
        <v>#DIV/0!</v>
      </c>
      <c r="K196" s="335"/>
      <c r="L196" s="335"/>
      <c r="M196" s="335"/>
      <c r="N196" s="335"/>
      <c r="O196" s="335"/>
      <c r="P196" s="94"/>
      <c r="Q196" s="95"/>
      <c r="R196" s="95"/>
      <c r="S196" s="95"/>
      <c r="T196" s="95"/>
      <c r="U196" s="95"/>
      <c r="V196" s="96"/>
      <c r="W196" s="96"/>
      <c r="X196" s="96"/>
      <c r="Y196" s="89"/>
      <c r="Z196" s="89"/>
      <c r="AA196" s="89"/>
      <c r="AB196" s="89"/>
    </row>
    <row r="197" spans="1:44" s="18" customFormat="1" ht="31.35" customHeight="1" x14ac:dyDescent="0.1">
      <c r="B197" s="28"/>
      <c r="C197" s="28"/>
      <c r="D197" s="50"/>
      <c r="E197" s="50"/>
      <c r="F197" s="50"/>
      <c r="G197" s="50"/>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row>
    <row r="198" spans="1:44" ht="15.6" customHeight="1" thickBot="1" x14ac:dyDescent="0.15">
      <c r="B198" s="15"/>
      <c r="D198" s="266" t="s">
        <v>3666</v>
      </c>
      <c r="E198" s="267"/>
      <c r="F198" s="267"/>
      <c r="G198" s="268"/>
      <c r="H198" s="269">
        <v>1</v>
      </c>
      <c r="I198" s="270"/>
      <c r="J198" s="270"/>
      <c r="K198" s="270"/>
      <c r="L198" s="270"/>
      <c r="M198" s="271"/>
      <c r="N198" s="269">
        <v>2</v>
      </c>
      <c r="O198" s="270"/>
      <c r="P198" s="270"/>
      <c r="Q198" s="270"/>
      <c r="R198" s="270"/>
      <c r="S198" s="271"/>
      <c r="T198" s="269">
        <v>3</v>
      </c>
      <c r="U198" s="270"/>
      <c r="V198" s="270"/>
      <c r="W198" s="270"/>
      <c r="X198" s="270"/>
      <c r="Y198" s="271"/>
      <c r="Z198" s="269">
        <v>4</v>
      </c>
      <c r="AA198" s="270"/>
      <c r="AB198" s="270"/>
      <c r="AC198" s="270"/>
      <c r="AD198" s="270"/>
      <c r="AE198" s="271"/>
      <c r="AF198" s="269">
        <v>5</v>
      </c>
      <c r="AG198" s="270"/>
      <c r="AH198" s="270"/>
      <c r="AI198" s="270"/>
      <c r="AJ198" s="270"/>
      <c r="AK198" s="271"/>
      <c r="AL198" s="15"/>
    </row>
    <row r="199" spans="1:44" ht="98.65" customHeight="1" thickBot="1" x14ac:dyDescent="0.15">
      <c r="B199" s="15"/>
      <c r="D199" s="285" t="s">
        <v>66</v>
      </c>
      <c r="E199" s="286"/>
      <c r="F199" s="286"/>
      <c r="G199" s="287"/>
      <c r="H199" s="340"/>
      <c r="I199" s="341"/>
      <c r="J199" s="341"/>
      <c r="K199" s="341"/>
      <c r="L199" s="341"/>
      <c r="M199" s="344"/>
      <c r="N199" s="340"/>
      <c r="O199" s="341"/>
      <c r="P199" s="341"/>
      <c r="Q199" s="341"/>
      <c r="R199" s="341"/>
      <c r="S199" s="344"/>
      <c r="T199" s="340"/>
      <c r="U199" s="341"/>
      <c r="V199" s="341"/>
      <c r="W199" s="342"/>
      <c r="X199" s="342"/>
      <c r="Y199" s="343"/>
      <c r="Z199" s="340"/>
      <c r="AA199" s="341"/>
      <c r="AB199" s="341"/>
      <c r="AC199" s="341"/>
      <c r="AD199" s="341"/>
      <c r="AE199" s="344"/>
      <c r="AF199" s="340"/>
      <c r="AG199" s="341"/>
      <c r="AH199" s="341"/>
      <c r="AI199" s="341"/>
      <c r="AJ199" s="341"/>
      <c r="AK199" s="344"/>
      <c r="AL199" s="15"/>
      <c r="AN199" s="63">
        <f>COUNTA(H199:AK199)</f>
        <v>0</v>
      </c>
    </row>
    <row r="200" spans="1:44" ht="28.35" customHeight="1" x14ac:dyDescent="0.1">
      <c r="B200" s="15"/>
      <c r="D200" s="272" t="s">
        <v>67</v>
      </c>
      <c r="E200" s="273"/>
      <c r="F200" s="276" t="s">
        <v>68</v>
      </c>
      <c r="G200" s="277"/>
      <c r="H200" s="97"/>
      <c r="I200" s="98" t="s">
        <v>2</v>
      </c>
      <c r="J200" s="99"/>
      <c r="K200" s="98" t="s">
        <v>69</v>
      </c>
      <c r="L200" s="99"/>
      <c r="M200" s="100" t="s">
        <v>70</v>
      </c>
      <c r="N200" s="97"/>
      <c r="O200" s="98" t="s">
        <v>2</v>
      </c>
      <c r="P200" s="99"/>
      <c r="Q200" s="98" t="s">
        <v>69</v>
      </c>
      <c r="R200" s="99"/>
      <c r="S200" s="100" t="s">
        <v>70</v>
      </c>
      <c r="T200" s="97"/>
      <c r="U200" s="98" t="s">
        <v>2</v>
      </c>
      <c r="V200" s="99"/>
      <c r="W200" s="98" t="s">
        <v>69</v>
      </c>
      <c r="X200" s="99"/>
      <c r="Y200" s="100" t="s">
        <v>70</v>
      </c>
      <c r="Z200" s="97"/>
      <c r="AA200" s="98" t="s">
        <v>2</v>
      </c>
      <c r="AB200" s="99"/>
      <c r="AC200" s="98" t="s">
        <v>69</v>
      </c>
      <c r="AD200" s="99"/>
      <c r="AE200" s="100" t="s">
        <v>70</v>
      </c>
      <c r="AF200" s="97"/>
      <c r="AG200" s="98" t="s">
        <v>2</v>
      </c>
      <c r="AH200" s="99"/>
      <c r="AI200" s="98" t="s">
        <v>69</v>
      </c>
      <c r="AJ200" s="99"/>
      <c r="AK200" s="100" t="s">
        <v>70</v>
      </c>
      <c r="AL200" s="15"/>
    </row>
    <row r="201" spans="1:44" s="9" customFormat="1" ht="28.35" customHeight="1" x14ac:dyDescent="0.1">
      <c r="B201" s="62"/>
      <c r="C201" s="62"/>
      <c r="D201" s="274"/>
      <c r="E201" s="275"/>
      <c r="F201" s="278" t="s">
        <v>71</v>
      </c>
      <c r="G201" s="279"/>
      <c r="H201" s="101"/>
      <c r="I201" s="102" t="s">
        <v>2</v>
      </c>
      <c r="J201" s="103"/>
      <c r="K201" s="102" t="s">
        <v>69</v>
      </c>
      <c r="L201" s="103"/>
      <c r="M201" s="104" t="s">
        <v>70</v>
      </c>
      <c r="N201" s="101"/>
      <c r="O201" s="102" t="s">
        <v>2</v>
      </c>
      <c r="P201" s="103"/>
      <c r="Q201" s="102" t="s">
        <v>69</v>
      </c>
      <c r="R201" s="103"/>
      <c r="S201" s="104" t="s">
        <v>70</v>
      </c>
      <c r="T201" s="101"/>
      <c r="U201" s="102" t="s">
        <v>2</v>
      </c>
      <c r="V201" s="103"/>
      <c r="W201" s="102" t="s">
        <v>69</v>
      </c>
      <c r="X201" s="103"/>
      <c r="Y201" s="104" t="s">
        <v>70</v>
      </c>
      <c r="Z201" s="101"/>
      <c r="AA201" s="102" t="s">
        <v>2</v>
      </c>
      <c r="AB201" s="103"/>
      <c r="AC201" s="102" t="s">
        <v>69</v>
      </c>
      <c r="AD201" s="103"/>
      <c r="AE201" s="104" t="s">
        <v>70</v>
      </c>
      <c r="AF201" s="101"/>
      <c r="AG201" s="102" t="s">
        <v>2</v>
      </c>
      <c r="AH201" s="103"/>
      <c r="AI201" s="102" t="s">
        <v>69</v>
      </c>
      <c r="AJ201" s="103"/>
      <c r="AK201" s="104" t="s">
        <v>70</v>
      </c>
      <c r="AL201" s="62"/>
      <c r="AN201" s="72" t="s">
        <v>3663</v>
      </c>
      <c r="AO201" s="73" t="s">
        <v>3667</v>
      </c>
      <c r="AP201" s="73" t="s">
        <v>3668</v>
      </c>
      <c r="AQ201" s="73" t="s">
        <v>3669</v>
      </c>
      <c r="AR201" s="72" t="s">
        <v>3670</v>
      </c>
    </row>
    <row r="202" spans="1:44" ht="51" customHeight="1" x14ac:dyDescent="0.1">
      <c r="B202" s="15"/>
      <c r="D202" s="280" t="s">
        <v>3705</v>
      </c>
      <c r="E202" s="281"/>
      <c r="F202" s="281"/>
      <c r="G202" s="282"/>
      <c r="H202" s="345"/>
      <c r="I202" s="346"/>
      <c r="J202" s="346"/>
      <c r="K202" s="346"/>
      <c r="L202" s="346"/>
      <c r="M202" s="105" t="s">
        <v>1</v>
      </c>
      <c r="N202" s="345"/>
      <c r="O202" s="346"/>
      <c r="P202" s="346"/>
      <c r="Q202" s="346"/>
      <c r="R202" s="346"/>
      <c r="S202" s="105" t="s">
        <v>1</v>
      </c>
      <c r="T202" s="345"/>
      <c r="U202" s="346"/>
      <c r="V202" s="346"/>
      <c r="W202" s="346"/>
      <c r="X202" s="346"/>
      <c r="Y202" s="105" t="s">
        <v>1</v>
      </c>
      <c r="Z202" s="345"/>
      <c r="AA202" s="346"/>
      <c r="AB202" s="346"/>
      <c r="AC202" s="346"/>
      <c r="AD202" s="346"/>
      <c r="AE202" s="105" t="s">
        <v>1</v>
      </c>
      <c r="AF202" s="345"/>
      <c r="AG202" s="346"/>
      <c r="AH202" s="346"/>
      <c r="AI202" s="346"/>
      <c r="AJ202" s="346"/>
      <c r="AK202" s="105" t="s">
        <v>1</v>
      </c>
      <c r="AL202" s="15"/>
      <c r="AN202" s="75">
        <f>SUM(H202,N202,T202,Z202,AF202)</f>
        <v>0</v>
      </c>
      <c r="AO202" s="76">
        <f>SUMIF(D210:AA210,"３割超",H202:AJ202)</f>
        <v>0</v>
      </c>
      <c r="AP202" s="76">
        <f>SUMIF(D210:AA210,"地場以外",H202:AJ202)</f>
        <v>0</v>
      </c>
      <c r="AQ202" s="76">
        <f>SUMIF(D210:AA210,"両方",H202:AJ202)</f>
        <v>0</v>
      </c>
      <c r="AR202" s="76">
        <f>SUMIF(D210:AA210,"問題なし",H202:AJ202)</f>
        <v>0</v>
      </c>
    </row>
    <row r="203" spans="1:44" ht="15.6" customHeight="1" x14ac:dyDescent="0.1">
      <c r="B203" s="15"/>
      <c r="D203" s="293" t="s">
        <v>3671</v>
      </c>
      <c r="E203" s="294"/>
      <c r="F203" s="294"/>
      <c r="G203" s="295"/>
      <c r="H203" s="296" t="e">
        <f>(H202/$I$15)</f>
        <v>#DIV/0!</v>
      </c>
      <c r="I203" s="297"/>
      <c r="J203" s="297"/>
      <c r="K203" s="297"/>
      <c r="L203" s="297"/>
      <c r="M203" s="298"/>
      <c r="N203" s="296" t="e">
        <f>(N202/$I$15)</f>
        <v>#DIV/0!</v>
      </c>
      <c r="O203" s="297"/>
      <c r="P203" s="297"/>
      <c r="Q203" s="297"/>
      <c r="R203" s="297"/>
      <c r="S203" s="298"/>
      <c r="T203" s="296" t="e">
        <f>(T202/$I$15)</f>
        <v>#DIV/0!</v>
      </c>
      <c r="U203" s="297"/>
      <c r="V203" s="297"/>
      <c r="W203" s="297"/>
      <c r="X203" s="297"/>
      <c r="Y203" s="298"/>
      <c r="Z203" s="296" t="e">
        <f>(Z202/$I$15)</f>
        <v>#DIV/0!</v>
      </c>
      <c r="AA203" s="297"/>
      <c r="AB203" s="297"/>
      <c r="AC203" s="297"/>
      <c r="AD203" s="297"/>
      <c r="AE203" s="298"/>
      <c r="AF203" s="296" t="e">
        <f>(AF202/$I$15)</f>
        <v>#DIV/0!</v>
      </c>
      <c r="AG203" s="297"/>
      <c r="AH203" s="297"/>
      <c r="AI203" s="297"/>
      <c r="AJ203" s="297"/>
      <c r="AK203" s="298"/>
      <c r="AL203" s="15"/>
      <c r="AN203" s="77">
        <f>SUM(AO202:AR202)</f>
        <v>0</v>
      </c>
    </row>
    <row r="204" spans="1:44" ht="24" customHeight="1" x14ac:dyDescent="0.1">
      <c r="B204" s="15"/>
      <c r="D204" s="288" t="s">
        <v>72</v>
      </c>
      <c r="E204" s="289"/>
      <c r="F204" s="289"/>
      <c r="G204" s="290"/>
      <c r="H204" s="347"/>
      <c r="I204" s="348"/>
      <c r="J204" s="348"/>
      <c r="K204" s="348"/>
      <c r="L204" s="348"/>
      <c r="M204" s="106" t="s">
        <v>1</v>
      </c>
      <c r="N204" s="347"/>
      <c r="O204" s="348"/>
      <c r="P204" s="348"/>
      <c r="Q204" s="348"/>
      <c r="R204" s="348"/>
      <c r="S204" s="106" t="s">
        <v>1</v>
      </c>
      <c r="T204" s="347"/>
      <c r="U204" s="348"/>
      <c r="V204" s="348"/>
      <c r="W204" s="348"/>
      <c r="X204" s="348"/>
      <c r="Y204" s="106" t="s">
        <v>1</v>
      </c>
      <c r="Z204" s="347"/>
      <c r="AA204" s="348"/>
      <c r="AB204" s="348"/>
      <c r="AC204" s="348"/>
      <c r="AD204" s="348"/>
      <c r="AE204" s="106" t="s">
        <v>1</v>
      </c>
      <c r="AF204" s="347"/>
      <c r="AG204" s="348"/>
      <c r="AH204" s="348"/>
      <c r="AI204" s="348"/>
      <c r="AJ204" s="348"/>
      <c r="AK204" s="106" t="s">
        <v>1</v>
      </c>
      <c r="AL204" s="15"/>
    </row>
    <row r="205" spans="1:44" ht="24" customHeight="1" x14ac:dyDescent="0.1">
      <c r="B205" s="15"/>
      <c r="D205" s="305" t="s">
        <v>73</v>
      </c>
      <c r="E205" s="306"/>
      <c r="F205" s="306"/>
      <c r="G205" s="307"/>
      <c r="H205" s="352"/>
      <c r="I205" s="353"/>
      <c r="J205" s="353"/>
      <c r="K205" s="353"/>
      <c r="L205" s="353"/>
      <c r="M205" s="107" t="s">
        <v>1</v>
      </c>
      <c r="N205" s="352"/>
      <c r="O205" s="353"/>
      <c r="P205" s="353"/>
      <c r="Q205" s="353"/>
      <c r="R205" s="353"/>
      <c r="S205" s="107" t="s">
        <v>1</v>
      </c>
      <c r="T205" s="352"/>
      <c r="U205" s="353"/>
      <c r="V205" s="353"/>
      <c r="W205" s="353"/>
      <c r="X205" s="353"/>
      <c r="Y205" s="107" t="s">
        <v>1</v>
      </c>
      <c r="Z205" s="352"/>
      <c r="AA205" s="353"/>
      <c r="AB205" s="353"/>
      <c r="AC205" s="353"/>
      <c r="AD205" s="353"/>
      <c r="AE205" s="107" t="s">
        <v>1</v>
      </c>
      <c r="AF205" s="352"/>
      <c r="AG205" s="353"/>
      <c r="AH205" s="353"/>
      <c r="AI205" s="353"/>
      <c r="AJ205" s="353"/>
      <c r="AK205" s="107" t="s">
        <v>1</v>
      </c>
      <c r="AL205" s="15"/>
    </row>
    <row r="206" spans="1:44" ht="57.6" customHeight="1" x14ac:dyDescent="0.1">
      <c r="B206" s="15"/>
      <c r="C206" s="108"/>
      <c r="D206" s="354" t="s">
        <v>0</v>
      </c>
      <c r="E206" s="355"/>
      <c r="F206" s="355"/>
      <c r="G206" s="356"/>
      <c r="H206" s="349">
        <f>IFERROR(H205/H204,)</f>
        <v>0</v>
      </c>
      <c r="I206" s="350"/>
      <c r="J206" s="350"/>
      <c r="K206" s="350"/>
      <c r="L206" s="350"/>
      <c r="M206" s="351"/>
      <c r="N206" s="349">
        <f>IFERROR(N205/N204,)</f>
        <v>0</v>
      </c>
      <c r="O206" s="350"/>
      <c r="P206" s="350"/>
      <c r="Q206" s="350"/>
      <c r="R206" s="350"/>
      <c r="S206" s="351"/>
      <c r="T206" s="349">
        <f>IFERROR(T205/T204,)</f>
        <v>0</v>
      </c>
      <c r="U206" s="350"/>
      <c r="V206" s="350"/>
      <c r="W206" s="350"/>
      <c r="X206" s="350"/>
      <c r="Y206" s="351"/>
      <c r="Z206" s="349">
        <f>IFERROR(Z205/Z204,)</f>
        <v>0</v>
      </c>
      <c r="AA206" s="350"/>
      <c r="AB206" s="350"/>
      <c r="AC206" s="350"/>
      <c r="AD206" s="350"/>
      <c r="AE206" s="351"/>
      <c r="AF206" s="349">
        <f>IFERROR(AF205/AF204,)</f>
        <v>0</v>
      </c>
      <c r="AG206" s="350"/>
      <c r="AH206" s="350"/>
      <c r="AI206" s="350"/>
      <c r="AJ206" s="350"/>
      <c r="AK206" s="351"/>
      <c r="AL206" s="15"/>
      <c r="AN206" s="81">
        <f>SUM(IF(H206&gt;30%,1,0),IF(N206&gt;30%,1,0),IF(T206&gt;30%,1,0),IF(Z206&gt;30%,1,0),IF(AF206&gt;30%,1,0))</f>
        <v>0</v>
      </c>
    </row>
    <row r="207" spans="1:44" s="18" customFormat="1" ht="36.6" customHeight="1" x14ac:dyDescent="0.1">
      <c r="A207" s="35"/>
      <c r="B207" s="89"/>
      <c r="C207" s="28"/>
      <c r="D207" s="90"/>
      <c r="E207" s="51"/>
      <c r="F207" s="51"/>
      <c r="G207" s="51"/>
      <c r="H207" s="89"/>
      <c r="I207" s="89"/>
      <c r="J207" s="89"/>
      <c r="K207" s="89"/>
      <c r="L207" s="89"/>
      <c r="M207" s="89"/>
      <c r="N207" s="89"/>
      <c r="O207" s="89"/>
      <c r="P207" s="89"/>
      <c r="Q207" s="89"/>
      <c r="R207" s="89"/>
      <c r="S207" s="89"/>
      <c r="T207" s="89"/>
      <c r="U207" s="89"/>
      <c r="V207" s="89"/>
      <c r="W207" s="89"/>
      <c r="X207" s="89"/>
      <c r="Y207" s="89"/>
      <c r="Z207" s="89"/>
      <c r="AA207" s="89"/>
      <c r="AB207" s="89"/>
      <c r="AC207" s="89"/>
      <c r="AD207" s="89"/>
      <c r="AE207" s="89"/>
      <c r="AF207" s="89"/>
      <c r="AG207" s="89"/>
      <c r="AH207" s="89"/>
      <c r="AI207" s="89"/>
      <c r="AJ207" s="89"/>
      <c r="AK207" s="89"/>
      <c r="AL207" s="89"/>
    </row>
    <row r="208" spans="1:44" s="18" customFormat="1" ht="36.6" customHeight="1" x14ac:dyDescent="0.1">
      <c r="A208" s="35"/>
      <c r="B208" s="89"/>
      <c r="C208" s="28"/>
      <c r="D208" s="90" t="s">
        <v>3712</v>
      </c>
      <c r="E208" s="51"/>
      <c r="F208" s="51"/>
      <c r="G208" s="51"/>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c r="AF208" s="89"/>
      <c r="AG208" s="89"/>
      <c r="AH208" s="89"/>
      <c r="AI208" s="89"/>
      <c r="AJ208" s="89"/>
      <c r="AK208" s="89"/>
      <c r="AL208" s="89"/>
    </row>
    <row r="209" spans="1:44" s="18" customFormat="1" ht="57.6" customHeight="1" x14ac:dyDescent="0.1">
      <c r="A209" s="35"/>
      <c r="B209" s="89"/>
      <c r="C209" s="89"/>
      <c r="D209" s="173" t="s">
        <v>3713</v>
      </c>
      <c r="E209" s="327"/>
      <c r="F209" s="327"/>
      <c r="G209" s="327"/>
      <c r="H209" s="327"/>
      <c r="I209" s="328"/>
      <c r="J209" s="329" t="s">
        <v>3711</v>
      </c>
      <c r="K209" s="330"/>
      <c r="L209" s="330"/>
      <c r="M209" s="330"/>
      <c r="N209" s="330"/>
      <c r="O209" s="330"/>
      <c r="P209" s="91"/>
      <c r="Q209" s="26"/>
      <c r="R209" s="26"/>
      <c r="S209" s="26"/>
      <c r="T209" s="26"/>
      <c r="U209" s="26"/>
      <c r="V209" s="89"/>
      <c r="W209" s="89"/>
      <c r="X209" s="89"/>
      <c r="Y209" s="89"/>
      <c r="Z209" s="89"/>
      <c r="AA209" s="89"/>
      <c r="AB209" s="89"/>
    </row>
    <row r="210" spans="1:44" s="18" customFormat="1" ht="24" customHeight="1" x14ac:dyDescent="0.1">
      <c r="A210" s="35"/>
      <c r="B210" s="89"/>
      <c r="C210" s="89"/>
      <c r="D210" s="332" t="s">
        <v>3677</v>
      </c>
      <c r="E210" s="333"/>
      <c r="F210" s="333"/>
      <c r="G210" s="333"/>
      <c r="H210" s="333"/>
      <c r="I210" s="333"/>
      <c r="J210" s="330"/>
      <c r="K210" s="330"/>
      <c r="L210" s="330"/>
      <c r="M210" s="330"/>
      <c r="N210" s="330"/>
      <c r="O210" s="330"/>
      <c r="P210" s="92"/>
      <c r="Q210" s="26"/>
      <c r="R210" s="26"/>
      <c r="S210" s="26"/>
      <c r="T210" s="26"/>
      <c r="U210" s="26"/>
      <c r="V210" s="93"/>
      <c r="W210" s="93"/>
      <c r="X210" s="93"/>
      <c r="Y210" s="89"/>
      <c r="Z210" s="89"/>
      <c r="AA210" s="89"/>
      <c r="AB210" s="89"/>
    </row>
    <row r="211" spans="1:44" s="18" customFormat="1" ht="37.35" customHeight="1" x14ac:dyDescent="0.1">
      <c r="A211" s="35"/>
      <c r="B211" s="89"/>
      <c r="C211" s="89"/>
      <c r="D211" s="334"/>
      <c r="E211" s="334"/>
      <c r="F211" s="334"/>
      <c r="G211" s="334"/>
      <c r="H211" s="334"/>
      <c r="I211" s="334"/>
      <c r="J211" s="335" t="e">
        <f>D211/$I$15</f>
        <v>#DIV/0!</v>
      </c>
      <c r="K211" s="335"/>
      <c r="L211" s="335"/>
      <c r="M211" s="335"/>
      <c r="N211" s="335"/>
      <c r="O211" s="335"/>
      <c r="P211" s="94"/>
      <c r="Q211" s="95"/>
      <c r="R211" s="95"/>
      <c r="S211" s="95"/>
      <c r="T211" s="95"/>
      <c r="U211" s="95"/>
      <c r="V211" s="96"/>
      <c r="W211" s="96"/>
      <c r="X211" s="96"/>
      <c r="Y211" s="89"/>
      <c r="Z211" s="89"/>
      <c r="AA211" s="89"/>
      <c r="AB211" s="89"/>
    </row>
    <row r="212" spans="1:44" s="18" customFormat="1" ht="31.35" customHeight="1" x14ac:dyDescent="0.1">
      <c r="B212" s="28"/>
      <c r="C212" s="28"/>
      <c r="D212" s="50"/>
      <c r="E212" s="50"/>
      <c r="F212" s="50"/>
      <c r="G212" s="50"/>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row>
    <row r="213" spans="1:44" ht="15.6" customHeight="1" thickBot="1" x14ac:dyDescent="0.15">
      <c r="B213" s="15"/>
      <c r="D213" s="266" t="s">
        <v>3666</v>
      </c>
      <c r="E213" s="267"/>
      <c r="F213" s="267"/>
      <c r="G213" s="268"/>
      <c r="H213" s="269">
        <v>1</v>
      </c>
      <c r="I213" s="270"/>
      <c r="J213" s="270"/>
      <c r="K213" s="270"/>
      <c r="L213" s="270"/>
      <c r="M213" s="271"/>
      <c r="N213" s="269">
        <v>2</v>
      </c>
      <c r="O213" s="270"/>
      <c r="P213" s="270"/>
      <c r="Q213" s="270"/>
      <c r="R213" s="270"/>
      <c r="S213" s="271"/>
      <c r="T213" s="269">
        <v>3</v>
      </c>
      <c r="U213" s="270"/>
      <c r="V213" s="270"/>
      <c r="W213" s="270"/>
      <c r="X213" s="270"/>
      <c r="Y213" s="271"/>
      <c r="Z213" s="269">
        <v>4</v>
      </c>
      <c r="AA213" s="270"/>
      <c r="AB213" s="270"/>
      <c r="AC213" s="270"/>
      <c r="AD213" s="270"/>
      <c r="AE213" s="271"/>
      <c r="AF213" s="269">
        <v>5</v>
      </c>
      <c r="AG213" s="270"/>
      <c r="AH213" s="270"/>
      <c r="AI213" s="270"/>
      <c r="AJ213" s="270"/>
      <c r="AK213" s="271"/>
      <c r="AL213" s="15"/>
    </row>
    <row r="214" spans="1:44" ht="98.65" customHeight="1" thickBot="1" x14ac:dyDescent="0.15">
      <c r="B214" s="15"/>
      <c r="D214" s="285" t="s">
        <v>66</v>
      </c>
      <c r="E214" s="286"/>
      <c r="F214" s="286"/>
      <c r="G214" s="287"/>
      <c r="H214" s="340"/>
      <c r="I214" s="341"/>
      <c r="J214" s="341"/>
      <c r="K214" s="341"/>
      <c r="L214" s="341"/>
      <c r="M214" s="344"/>
      <c r="N214" s="340"/>
      <c r="O214" s="341"/>
      <c r="P214" s="341"/>
      <c r="Q214" s="341"/>
      <c r="R214" s="341"/>
      <c r="S214" s="344"/>
      <c r="T214" s="340"/>
      <c r="U214" s="341"/>
      <c r="V214" s="341"/>
      <c r="W214" s="342"/>
      <c r="X214" s="342"/>
      <c r="Y214" s="343"/>
      <c r="Z214" s="340"/>
      <c r="AA214" s="341"/>
      <c r="AB214" s="341"/>
      <c r="AC214" s="341"/>
      <c r="AD214" s="341"/>
      <c r="AE214" s="344"/>
      <c r="AF214" s="340"/>
      <c r="AG214" s="341"/>
      <c r="AH214" s="341"/>
      <c r="AI214" s="341"/>
      <c r="AJ214" s="341"/>
      <c r="AK214" s="344"/>
      <c r="AL214" s="15"/>
      <c r="AN214" s="63">
        <f>COUNTA(H214:AK214)</f>
        <v>0</v>
      </c>
    </row>
    <row r="215" spans="1:44" ht="28.35" customHeight="1" x14ac:dyDescent="0.1">
      <c r="B215" s="15"/>
      <c r="D215" s="272" t="s">
        <v>67</v>
      </c>
      <c r="E215" s="273"/>
      <c r="F215" s="276" t="s">
        <v>68</v>
      </c>
      <c r="G215" s="277"/>
      <c r="H215" s="97"/>
      <c r="I215" s="98" t="s">
        <v>2</v>
      </c>
      <c r="J215" s="99"/>
      <c r="K215" s="98" t="s">
        <v>69</v>
      </c>
      <c r="L215" s="99"/>
      <c r="M215" s="100" t="s">
        <v>70</v>
      </c>
      <c r="N215" s="97"/>
      <c r="O215" s="98" t="s">
        <v>2</v>
      </c>
      <c r="P215" s="99"/>
      <c r="Q215" s="98" t="s">
        <v>69</v>
      </c>
      <c r="R215" s="99"/>
      <c r="S215" s="100" t="s">
        <v>70</v>
      </c>
      <c r="T215" s="97"/>
      <c r="U215" s="98" t="s">
        <v>2</v>
      </c>
      <c r="V215" s="99"/>
      <c r="W215" s="98" t="s">
        <v>69</v>
      </c>
      <c r="X215" s="99"/>
      <c r="Y215" s="100" t="s">
        <v>70</v>
      </c>
      <c r="Z215" s="97"/>
      <c r="AA215" s="98" t="s">
        <v>2</v>
      </c>
      <c r="AB215" s="99"/>
      <c r="AC215" s="98" t="s">
        <v>69</v>
      </c>
      <c r="AD215" s="99"/>
      <c r="AE215" s="100" t="s">
        <v>70</v>
      </c>
      <c r="AF215" s="97"/>
      <c r="AG215" s="98" t="s">
        <v>2</v>
      </c>
      <c r="AH215" s="99"/>
      <c r="AI215" s="98" t="s">
        <v>69</v>
      </c>
      <c r="AJ215" s="99"/>
      <c r="AK215" s="100" t="s">
        <v>70</v>
      </c>
      <c r="AL215" s="15"/>
    </row>
    <row r="216" spans="1:44" s="9" customFormat="1" ht="28.35" customHeight="1" x14ac:dyDescent="0.1">
      <c r="B216" s="62"/>
      <c r="C216" s="62"/>
      <c r="D216" s="274"/>
      <c r="E216" s="275"/>
      <c r="F216" s="278" t="s">
        <v>71</v>
      </c>
      <c r="G216" s="279"/>
      <c r="H216" s="101"/>
      <c r="I216" s="102" t="s">
        <v>2</v>
      </c>
      <c r="J216" s="103"/>
      <c r="K216" s="102" t="s">
        <v>69</v>
      </c>
      <c r="L216" s="103"/>
      <c r="M216" s="104" t="s">
        <v>70</v>
      </c>
      <c r="N216" s="101"/>
      <c r="O216" s="102" t="s">
        <v>2</v>
      </c>
      <c r="P216" s="103"/>
      <c r="Q216" s="102" t="s">
        <v>69</v>
      </c>
      <c r="R216" s="103"/>
      <c r="S216" s="104" t="s">
        <v>70</v>
      </c>
      <c r="T216" s="101"/>
      <c r="U216" s="102" t="s">
        <v>2</v>
      </c>
      <c r="V216" s="103"/>
      <c r="W216" s="102" t="s">
        <v>69</v>
      </c>
      <c r="X216" s="103"/>
      <c r="Y216" s="104" t="s">
        <v>70</v>
      </c>
      <c r="Z216" s="101"/>
      <c r="AA216" s="102" t="s">
        <v>2</v>
      </c>
      <c r="AB216" s="103"/>
      <c r="AC216" s="102" t="s">
        <v>69</v>
      </c>
      <c r="AD216" s="103"/>
      <c r="AE216" s="104" t="s">
        <v>70</v>
      </c>
      <c r="AF216" s="101"/>
      <c r="AG216" s="102" t="s">
        <v>2</v>
      </c>
      <c r="AH216" s="103"/>
      <c r="AI216" s="102" t="s">
        <v>69</v>
      </c>
      <c r="AJ216" s="103"/>
      <c r="AK216" s="104" t="s">
        <v>70</v>
      </c>
      <c r="AL216" s="62"/>
      <c r="AN216" s="72" t="s">
        <v>3663</v>
      </c>
      <c r="AO216" s="73" t="s">
        <v>3667</v>
      </c>
      <c r="AP216" s="73" t="s">
        <v>3668</v>
      </c>
      <c r="AQ216" s="73" t="s">
        <v>3669</v>
      </c>
      <c r="AR216" s="72" t="s">
        <v>3670</v>
      </c>
    </row>
    <row r="217" spans="1:44" ht="51" customHeight="1" x14ac:dyDescent="0.1">
      <c r="B217" s="15"/>
      <c r="D217" s="280" t="s">
        <v>3705</v>
      </c>
      <c r="E217" s="281"/>
      <c r="F217" s="281"/>
      <c r="G217" s="282"/>
      <c r="H217" s="345"/>
      <c r="I217" s="346"/>
      <c r="J217" s="346"/>
      <c r="K217" s="346"/>
      <c r="L217" s="346"/>
      <c r="M217" s="105" t="s">
        <v>1</v>
      </c>
      <c r="N217" s="345"/>
      <c r="O217" s="346"/>
      <c r="P217" s="346"/>
      <c r="Q217" s="346"/>
      <c r="R217" s="346"/>
      <c r="S217" s="105" t="s">
        <v>1</v>
      </c>
      <c r="T217" s="345"/>
      <c r="U217" s="346"/>
      <c r="V217" s="346"/>
      <c r="W217" s="346"/>
      <c r="X217" s="346"/>
      <c r="Y217" s="105" t="s">
        <v>1</v>
      </c>
      <c r="Z217" s="345"/>
      <c r="AA217" s="346"/>
      <c r="AB217" s="346"/>
      <c r="AC217" s="346"/>
      <c r="AD217" s="346"/>
      <c r="AE217" s="105" t="s">
        <v>1</v>
      </c>
      <c r="AF217" s="345"/>
      <c r="AG217" s="346"/>
      <c r="AH217" s="346"/>
      <c r="AI217" s="346"/>
      <c r="AJ217" s="346"/>
      <c r="AK217" s="105" t="s">
        <v>1</v>
      </c>
      <c r="AL217" s="15"/>
      <c r="AN217" s="75">
        <f>SUM(H217,N217,T217,Z217,AF217)</f>
        <v>0</v>
      </c>
      <c r="AO217" s="76">
        <f ca="1">SUMIF(H240:AK240,"３割超",H217:AJ217)</f>
        <v>0</v>
      </c>
      <c r="AP217" s="76">
        <f ca="1">SUMIF(H240:AK240,"地場以外",H217:AJ217)</f>
        <v>0</v>
      </c>
      <c r="AQ217" s="76">
        <f ca="1">SUMIF(H240:AK240,"両方",H217:AJ217)</f>
        <v>0</v>
      </c>
      <c r="AR217" s="76">
        <f ca="1">SUMIF(H240:AK240,"問題なし",H217:AJ217)</f>
        <v>0</v>
      </c>
    </row>
    <row r="218" spans="1:44" ht="15.6" customHeight="1" x14ac:dyDescent="0.1">
      <c r="B218" s="15"/>
      <c r="D218" s="293" t="s">
        <v>3671</v>
      </c>
      <c r="E218" s="294"/>
      <c r="F218" s="294"/>
      <c r="G218" s="295"/>
      <c r="H218" s="296" t="e">
        <f>(H217/$I$15)</f>
        <v>#DIV/0!</v>
      </c>
      <c r="I218" s="297"/>
      <c r="J218" s="297"/>
      <c r="K218" s="297"/>
      <c r="L218" s="297"/>
      <c r="M218" s="298"/>
      <c r="N218" s="296" t="e">
        <f>(N217/$I$15)</f>
        <v>#DIV/0!</v>
      </c>
      <c r="O218" s="297"/>
      <c r="P218" s="297"/>
      <c r="Q218" s="297"/>
      <c r="R218" s="297"/>
      <c r="S218" s="298"/>
      <c r="T218" s="296" t="e">
        <f>(T217/$I$15)</f>
        <v>#DIV/0!</v>
      </c>
      <c r="U218" s="297"/>
      <c r="V218" s="297"/>
      <c r="W218" s="297"/>
      <c r="X218" s="297"/>
      <c r="Y218" s="298"/>
      <c r="Z218" s="296" t="e">
        <f>(Z217/$I$15)</f>
        <v>#DIV/0!</v>
      </c>
      <c r="AA218" s="297"/>
      <c r="AB218" s="297"/>
      <c r="AC218" s="297"/>
      <c r="AD218" s="297"/>
      <c r="AE218" s="298"/>
      <c r="AF218" s="296" t="e">
        <f>(AF217/$I$15)</f>
        <v>#DIV/0!</v>
      </c>
      <c r="AG218" s="297"/>
      <c r="AH218" s="297"/>
      <c r="AI218" s="297"/>
      <c r="AJ218" s="297"/>
      <c r="AK218" s="298"/>
      <c r="AL218" s="15"/>
      <c r="AN218" s="77">
        <f ca="1">SUM(AO217:AR217)</f>
        <v>0</v>
      </c>
    </row>
    <row r="219" spans="1:44" ht="24" customHeight="1" x14ac:dyDescent="0.1">
      <c r="B219" s="15"/>
      <c r="D219" s="288" t="s">
        <v>72</v>
      </c>
      <c r="E219" s="289"/>
      <c r="F219" s="289"/>
      <c r="G219" s="290"/>
      <c r="H219" s="347"/>
      <c r="I219" s="348"/>
      <c r="J219" s="348"/>
      <c r="K219" s="348"/>
      <c r="L219" s="348"/>
      <c r="M219" s="106" t="s">
        <v>1</v>
      </c>
      <c r="N219" s="347"/>
      <c r="O219" s="348"/>
      <c r="P219" s="348"/>
      <c r="Q219" s="348"/>
      <c r="R219" s="348"/>
      <c r="S219" s="106" t="s">
        <v>1</v>
      </c>
      <c r="T219" s="347"/>
      <c r="U219" s="348"/>
      <c r="V219" s="348"/>
      <c r="W219" s="348"/>
      <c r="X219" s="348"/>
      <c r="Y219" s="106" t="s">
        <v>1</v>
      </c>
      <c r="Z219" s="347"/>
      <c r="AA219" s="348"/>
      <c r="AB219" s="348"/>
      <c r="AC219" s="348"/>
      <c r="AD219" s="348"/>
      <c r="AE219" s="106" t="s">
        <v>1</v>
      </c>
      <c r="AF219" s="347"/>
      <c r="AG219" s="348"/>
      <c r="AH219" s="348"/>
      <c r="AI219" s="348"/>
      <c r="AJ219" s="348"/>
      <c r="AK219" s="106" t="s">
        <v>1</v>
      </c>
      <c r="AL219" s="15"/>
    </row>
    <row r="220" spans="1:44" ht="24" customHeight="1" x14ac:dyDescent="0.1">
      <c r="B220" s="15"/>
      <c r="D220" s="305" t="s">
        <v>73</v>
      </c>
      <c r="E220" s="306"/>
      <c r="F220" s="306"/>
      <c r="G220" s="307"/>
      <c r="H220" s="352"/>
      <c r="I220" s="353"/>
      <c r="J220" s="353"/>
      <c r="K220" s="353"/>
      <c r="L220" s="353"/>
      <c r="M220" s="107" t="s">
        <v>1</v>
      </c>
      <c r="N220" s="352"/>
      <c r="O220" s="353"/>
      <c r="P220" s="353"/>
      <c r="Q220" s="353"/>
      <c r="R220" s="353"/>
      <c r="S220" s="107" t="s">
        <v>1</v>
      </c>
      <c r="T220" s="352"/>
      <c r="U220" s="353"/>
      <c r="V220" s="353"/>
      <c r="W220" s="353"/>
      <c r="X220" s="353"/>
      <c r="Y220" s="107" t="s">
        <v>1</v>
      </c>
      <c r="Z220" s="352"/>
      <c r="AA220" s="353"/>
      <c r="AB220" s="353"/>
      <c r="AC220" s="353"/>
      <c r="AD220" s="353"/>
      <c r="AE220" s="107" t="s">
        <v>1</v>
      </c>
      <c r="AF220" s="352"/>
      <c r="AG220" s="353"/>
      <c r="AH220" s="353"/>
      <c r="AI220" s="353"/>
      <c r="AJ220" s="353"/>
      <c r="AK220" s="107" t="s">
        <v>1</v>
      </c>
      <c r="AL220" s="15"/>
    </row>
    <row r="221" spans="1:44" ht="57.6" customHeight="1" x14ac:dyDescent="0.1">
      <c r="B221" s="15"/>
      <c r="C221" s="108"/>
      <c r="D221" s="354" t="s">
        <v>0</v>
      </c>
      <c r="E221" s="355"/>
      <c r="F221" s="355"/>
      <c r="G221" s="356"/>
      <c r="H221" s="349">
        <f>IFERROR(H220/H219,)</f>
        <v>0</v>
      </c>
      <c r="I221" s="350"/>
      <c r="J221" s="350"/>
      <c r="K221" s="350"/>
      <c r="L221" s="350"/>
      <c r="M221" s="351"/>
      <c r="N221" s="349">
        <f>IFERROR(N220/N219,)</f>
        <v>0</v>
      </c>
      <c r="O221" s="350"/>
      <c r="P221" s="350"/>
      <c r="Q221" s="350"/>
      <c r="R221" s="350"/>
      <c r="S221" s="351"/>
      <c r="T221" s="349">
        <f>IFERROR(T220/T219,)</f>
        <v>0</v>
      </c>
      <c r="U221" s="350"/>
      <c r="V221" s="350"/>
      <c r="W221" s="350"/>
      <c r="X221" s="350"/>
      <c r="Y221" s="351"/>
      <c r="Z221" s="349">
        <f>IFERROR(Z220/Z219,)</f>
        <v>0</v>
      </c>
      <c r="AA221" s="350"/>
      <c r="AB221" s="350"/>
      <c r="AC221" s="350"/>
      <c r="AD221" s="350"/>
      <c r="AE221" s="351"/>
      <c r="AF221" s="349">
        <f>IFERROR(AF220/AF219,)</f>
        <v>0</v>
      </c>
      <c r="AG221" s="350"/>
      <c r="AH221" s="350"/>
      <c r="AI221" s="350"/>
      <c r="AJ221" s="350"/>
      <c r="AK221" s="351"/>
      <c r="AL221" s="15"/>
      <c r="AN221" s="81">
        <f>SUM(IF(H221&gt;30%,1,0),IF(N221&gt;30%,1,0),IF(T221&gt;30%,1,0),IF(Z221&gt;30%,1,0),IF(AF221&gt;30%,1,0))</f>
        <v>0</v>
      </c>
    </row>
    <row r="222" spans="1:44" s="18" customFormat="1" ht="36.6" customHeight="1" x14ac:dyDescent="0.1">
      <c r="A222" s="35"/>
      <c r="B222" s="89"/>
      <c r="C222" s="28"/>
      <c r="D222" s="90"/>
      <c r="E222" s="51"/>
      <c r="F222" s="51"/>
      <c r="G222" s="51"/>
      <c r="H222" s="89"/>
      <c r="I222" s="89"/>
      <c r="J222" s="89"/>
      <c r="K222" s="89"/>
      <c r="L222" s="89"/>
      <c r="M222" s="89"/>
      <c r="N222" s="89"/>
      <c r="O222" s="89"/>
      <c r="P222" s="89"/>
      <c r="Q222" s="89"/>
      <c r="R222" s="89"/>
      <c r="S222" s="89"/>
      <c r="T222" s="89"/>
      <c r="U222" s="89"/>
      <c r="V222" s="89"/>
      <c r="W222" s="89"/>
      <c r="X222" s="89"/>
      <c r="Y222" s="89"/>
      <c r="Z222" s="89"/>
      <c r="AA222" s="89"/>
      <c r="AB222" s="89"/>
      <c r="AC222" s="89"/>
      <c r="AD222" s="89"/>
      <c r="AE222" s="89"/>
      <c r="AF222" s="89"/>
      <c r="AG222" s="89"/>
      <c r="AH222" s="89"/>
      <c r="AI222" s="89"/>
      <c r="AJ222" s="89"/>
      <c r="AK222" s="89"/>
      <c r="AL222" s="89"/>
    </row>
    <row r="223" spans="1:44" s="18" customFormat="1" ht="36.6" customHeight="1" x14ac:dyDescent="0.1">
      <c r="A223" s="35"/>
      <c r="B223" s="35"/>
      <c r="D223" s="90" t="s">
        <v>3714</v>
      </c>
      <c r="E223" s="88"/>
      <c r="F223" s="37"/>
      <c r="G223" s="37"/>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row>
    <row r="224" spans="1:44" s="18" customFormat="1" ht="46.5" customHeight="1" x14ac:dyDescent="0.1">
      <c r="A224" s="35"/>
      <c r="B224" s="35"/>
      <c r="C224" s="89"/>
      <c r="D224" s="173" t="s">
        <v>3715</v>
      </c>
      <c r="E224" s="327"/>
      <c r="F224" s="327"/>
      <c r="G224" s="327"/>
      <c r="H224" s="327"/>
      <c r="I224" s="328"/>
      <c r="J224" s="329" t="s">
        <v>3711</v>
      </c>
      <c r="K224" s="330"/>
      <c r="L224" s="330"/>
      <c r="M224" s="330"/>
      <c r="N224" s="330"/>
      <c r="O224" s="330"/>
      <c r="P224" s="91"/>
      <c r="Q224" s="26"/>
      <c r="R224" s="26"/>
      <c r="S224" s="26"/>
      <c r="T224" s="26"/>
      <c r="U224" s="26"/>
      <c r="V224" s="35"/>
      <c r="W224" s="35"/>
      <c r="X224" s="35"/>
      <c r="Y224" s="35"/>
      <c r="Z224" s="35"/>
      <c r="AA224" s="35"/>
      <c r="AB224" s="35"/>
    </row>
    <row r="225" spans="1:44" s="18" customFormat="1" ht="24" customHeight="1" x14ac:dyDescent="0.1">
      <c r="A225" s="35"/>
      <c r="B225" s="35"/>
      <c r="C225" s="89"/>
      <c r="D225" s="332" t="s">
        <v>3677</v>
      </c>
      <c r="E225" s="357"/>
      <c r="F225" s="357"/>
      <c r="G225" s="357"/>
      <c r="H225" s="357"/>
      <c r="I225" s="357"/>
      <c r="J225" s="330"/>
      <c r="K225" s="330"/>
      <c r="L225" s="330"/>
      <c r="M225" s="330"/>
      <c r="N225" s="330"/>
      <c r="O225" s="330"/>
      <c r="P225" s="92"/>
      <c r="Q225" s="26"/>
      <c r="R225" s="26"/>
      <c r="S225" s="26"/>
      <c r="T225" s="26"/>
      <c r="U225" s="26"/>
      <c r="V225" s="93"/>
      <c r="W225" s="93"/>
      <c r="X225" s="93"/>
      <c r="Y225" s="35"/>
      <c r="Z225" s="35"/>
      <c r="AA225" s="35"/>
      <c r="AB225" s="35"/>
    </row>
    <row r="226" spans="1:44" s="18" customFormat="1" ht="37.35" customHeight="1" x14ac:dyDescent="0.1">
      <c r="A226" s="35"/>
      <c r="B226" s="35"/>
      <c r="C226" s="89"/>
      <c r="D226" s="334"/>
      <c r="E226" s="334"/>
      <c r="F226" s="334"/>
      <c r="G226" s="334"/>
      <c r="H226" s="334"/>
      <c r="I226" s="334"/>
      <c r="J226" s="335" t="e">
        <f>D226/$I$15</f>
        <v>#DIV/0!</v>
      </c>
      <c r="K226" s="335"/>
      <c r="L226" s="335"/>
      <c r="M226" s="335"/>
      <c r="N226" s="335"/>
      <c r="O226" s="335"/>
      <c r="P226" s="94"/>
      <c r="Q226" s="95"/>
      <c r="R226" s="95"/>
      <c r="S226" s="95"/>
      <c r="T226" s="95"/>
      <c r="U226" s="95"/>
      <c r="V226" s="96"/>
      <c r="W226" s="96"/>
      <c r="X226" s="96"/>
      <c r="Y226" s="35"/>
      <c r="Z226" s="35"/>
      <c r="AA226" s="35"/>
      <c r="AB226" s="35"/>
    </row>
    <row r="227" spans="1:44" s="18" customFormat="1" ht="31.35" customHeight="1" x14ac:dyDescent="0.1">
      <c r="C227" s="28"/>
      <c r="D227" s="40"/>
      <c r="E227" s="40"/>
      <c r="F227" s="40"/>
      <c r="G227" s="40"/>
    </row>
    <row r="228" spans="1:44" ht="15.6" customHeight="1" thickBot="1" x14ac:dyDescent="0.15">
      <c r="D228" s="266" t="s">
        <v>3666</v>
      </c>
      <c r="E228" s="267"/>
      <c r="F228" s="267"/>
      <c r="G228" s="268"/>
      <c r="H228" s="269">
        <v>1</v>
      </c>
      <c r="I228" s="270"/>
      <c r="J228" s="270"/>
      <c r="K228" s="270"/>
      <c r="L228" s="270"/>
      <c r="M228" s="271"/>
      <c r="N228" s="269">
        <v>2</v>
      </c>
      <c r="O228" s="270"/>
      <c r="P228" s="270"/>
      <c r="Q228" s="270"/>
      <c r="R228" s="270"/>
      <c r="S228" s="271"/>
      <c r="T228" s="269">
        <v>3</v>
      </c>
      <c r="U228" s="270"/>
      <c r="V228" s="270"/>
      <c r="W228" s="270"/>
      <c r="X228" s="270"/>
      <c r="Y228" s="271"/>
      <c r="Z228" s="269">
        <v>4</v>
      </c>
      <c r="AA228" s="270"/>
      <c r="AB228" s="270"/>
      <c r="AC228" s="270"/>
      <c r="AD228" s="270"/>
      <c r="AE228" s="271"/>
      <c r="AF228" s="269">
        <v>5</v>
      </c>
      <c r="AG228" s="270"/>
      <c r="AH228" s="270"/>
      <c r="AI228" s="270"/>
      <c r="AJ228" s="270"/>
      <c r="AK228" s="271"/>
    </row>
    <row r="229" spans="1:44" ht="98.65" customHeight="1" thickBot="1" x14ac:dyDescent="0.15">
      <c r="D229" s="285" t="s">
        <v>66</v>
      </c>
      <c r="E229" s="286"/>
      <c r="F229" s="286"/>
      <c r="G229" s="287"/>
      <c r="H229" s="260"/>
      <c r="I229" s="261"/>
      <c r="J229" s="261"/>
      <c r="K229" s="261"/>
      <c r="L229" s="261"/>
      <c r="M229" s="264"/>
      <c r="N229" s="260"/>
      <c r="O229" s="261"/>
      <c r="P229" s="261"/>
      <c r="Q229" s="261"/>
      <c r="R229" s="261"/>
      <c r="S229" s="264"/>
      <c r="T229" s="260"/>
      <c r="U229" s="261"/>
      <c r="V229" s="261"/>
      <c r="W229" s="262"/>
      <c r="X229" s="262"/>
      <c r="Y229" s="263"/>
      <c r="Z229" s="260"/>
      <c r="AA229" s="261"/>
      <c r="AB229" s="261"/>
      <c r="AC229" s="261"/>
      <c r="AD229" s="261"/>
      <c r="AE229" s="264"/>
      <c r="AF229" s="260"/>
      <c r="AG229" s="261"/>
      <c r="AH229" s="261"/>
      <c r="AI229" s="261"/>
      <c r="AJ229" s="261"/>
      <c r="AK229" s="264"/>
      <c r="AN229" s="63">
        <f>COUNTA(H229:AK229)</f>
        <v>0</v>
      </c>
    </row>
    <row r="230" spans="1:44" ht="28.35" customHeight="1" x14ac:dyDescent="0.1">
      <c r="D230" s="272" t="s">
        <v>67</v>
      </c>
      <c r="E230" s="273"/>
      <c r="F230" s="276" t="s">
        <v>68</v>
      </c>
      <c r="G230" s="277"/>
      <c r="H230" s="64"/>
      <c r="I230" s="65" t="s">
        <v>2</v>
      </c>
      <c r="J230" s="66"/>
      <c r="K230" s="65" t="s">
        <v>69</v>
      </c>
      <c r="L230" s="66"/>
      <c r="M230" s="67" t="s">
        <v>70</v>
      </c>
      <c r="N230" s="64"/>
      <c r="O230" s="65" t="s">
        <v>2</v>
      </c>
      <c r="P230" s="66"/>
      <c r="Q230" s="65" t="s">
        <v>69</v>
      </c>
      <c r="R230" s="66"/>
      <c r="S230" s="67" t="s">
        <v>70</v>
      </c>
      <c r="T230" s="64"/>
      <c r="U230" s="65" t="s">
        <v>2</v>
      </c>
      <c r="V230" s="66"/>
      <c r="W230" s="65" t="s">
        <v>69</v>
      </c>
      <c r="X230" s="66"/>
      <c r="Y230" s="67" t="s">
        <v>70</v>
      </c>
      <c r="Z230" s="64"/>
      <c r="AA230" s="65" t="s">
        <v>2</v>
      </c>
      <c r="AB230" s="66"/>
      <c r="AC230" s="65" t="s">
        <v>69</v>
      </c>
      <c r="AD230" s="66"/>
      <c r="AE230" s="67" t="s">
        <v>70</v>
      </c>
      <c r="AF230" s="64"/>
      <c r="AG230" s="65" t="s">
        <v>2</v>
      </c>
      <c r="AH230" s="66"/>
      <c r="AI230" s="65" t="s">
        <v>69</v>
      </c>
      <c r="AJ230" s="66"/>
      <c r="AK230" s="67" t="s">
        <v>70</v>
      </c>
    </row>
    <row r="231" spans="1:44" s="9" customFormat="1" ht="28.35" customHeight="1" x14ac:dyDescent="0.1">
      <c r="C231" s="62"/>
      <c r="D231" s="274"/>
      <c r="E231" s="275"/>
      <c r="F231" s="278" t="s">
        <v>71</v>
      </c>
      <c r="G231" s="279"/>
      <c r="H231" s="68"/>
      <c r="I231" s="69" t="s">
        <v>2</v>
      </c>
      <c r="J231" s="70"/>
      <c r="K231" s="69" t="s">
        <v>69</v>
      </c>
      <c r="L231" s="70"/>
      <c r="M231" s="71" t="s">
        <v>70</v>
      </c>
      <c r="N231" s="68"/>
      <c r="O231" s="69" t="s">
        <v>2</v>
      </c>
      <c r="P231" s="70"/>
      <c r="Q231" s="69" t="s">
        <v>69</v>
      </c>
      <c r="R231" s="70"/>
      <c r="S231" s="71" t="s">
        <v>70</v>
      </c>
      <c r="T231" s="68"/>
      <c r="U231" s="69" t="s">
        <v>2</v>
      </c>
      <c r="V231" s="70"/>
      <c r="W231" s="69" t="s">
        <v>69</v>
      </c>
      <c r="X231" s="70"/>
      <c r="Y231" s="71" t="s">
        <v>70</v>
      </c>
      <c r="Z231" s="68"/>
      <c r="AA231" s="69" t="s">
        <v>2</v>
      </c>
      <c r="AB231" s="70"/>
      <c r="AC231" s="69" t="s">
        <v>69</v>
      </c>
      <c r="AD231" s="70"/>
      <c r="AE231" s="71" t="s">
        <v>70</v>
      </c>
      <c r="AF231" s="68"/>
      <c r="AG231" s="69" t="s">
        <v>2</v>
      </c>
      <c r="AH231" s="70"/>
      <c r="AI231" s="69" t="s">
        <v>69</v>
      </c>
      <c r="AJ231" s="70"/>
      <c r="AK231" s="71" t="s">
        <v>70</v>
      </c>
      <c r="AN231" s="72" t="s">
        <v>3663</v>
      </c>
      <c r="AO231" s="73" t="s">
        <v>3667</v>
      </c>
      <c r="AP231" s="73" t="s">
        <v>3668</v>
      </c>
      <c r="AQ231" s="73" t="s">
        <v>3669</v>
      </c>
      <c r="AR231" s="72" t="s">
        <v>3670</v>
      </c>
    </row>
    <row r="232" spans="1:44" ht="51" customHeight="1" x14ac:dyDescent="0.1">
      <c r="D232" s="280" t="s">
        <v>3705</v>
      </c>
      <c r="E232" s="281"/>
      <c r="F232" s="281"/>
      <c r="G232" s="282"/>
      <c r="H232" s="283"/>
      <c r="I232" s="284"/>
      <c r="J232" s="284"/>
      <c r="K232" s="284"/>
      <c r="L232" s="284"/>
      <c r="M232" s="74" t="s">
        <v>1</v>
      </c>
      <c r="N232" s="283"/>
      <c r="O232" s="284"/>
      <c r="P232" s="284"/>
      <c r="Q232" s="284"/>
      <c r="R232" s="284"/>
      <c r="S232" s="74" t="s">
        <v>1</v>
      </c>
      <c r="T232" s="283"/>
      <c r="U232" s="284"/>
      <c r="V232" s="284"/>
      <c r="W232" s="284"/>
      <c r="X232" s="284"/>
      <c r="Y232" s="74" t="s">
        <v>1</v>
      </c>
      <c r="Z232" s="283"/>
      <c r="AA232" s="284"/>
      <c r="AB232" s="284"/>
      <c r="AC232" s="284"/>
      <c r="AD232" s="284"/>
      <c r="AE232" s="74" t="s">
        <v>1</v>
      </c>
      <c r="AF232" s="283"/>
      <c r="AG232" s="284"/>
      <c r="AH232" s="284"/>
      <c r="AI232" s="284"/>
      <c r="AJ232" s="284"/>
      <c r="AK232" s="74" t="s">
        <v>1</v>
      </c>
      <c r="AN232" s="75">
        <f>SUM(H232,N232,T232,Z232,AF232)</f>
        <v>0</v>
      </c>
      <c r="AO232" s="76">
        <f ca="1">SUMIF(H255:AK255,"３割超",H232:AJ232)</f>
        <v>0</v>
      </c>
      <c r="AP232" s="76">
        <f ca="1">SUMIF(H255:AK255,"地場以外",H232:AJ232)</f>
        <v>0</v>
      </c>
      <c r="AQ232" s="76">
        <f ca="1">SUMIF(H255:AK255,"両方",H232:AJ232)</f>
        <v>0</v>
      </c>
      <c r="AR232" s="76">
        <f ca="1">SUMIF(H255:AK255,"問題なし",H232:AJ232)</f>
        <v>0</v>
      </c>
    </row>
    <row r="233" spans="1:44" ht="15.6" customHeight="1" x14ac:dyDescent="0.1">
      <c r="D233" s="293" t="s">
        <v>3671</v>
      </c>
      <c r="E233" s="294"/>
      <c r="F233" s="294"/>
      <c r="G233" s="295"/>
      <c r="H233" s="296" t="e">
        <f>(H232/$I$15)</f>
        <v>#DIV/0!</v>
      </c>
      <c r="I233" s="297"/>
      <c r="J233" s="297"/>
      <c r="K233" s="297"/>
      <c r="L233" s="297"/>
      <c r="M233" s="298"/>
      <c r="N233" s="296" t="e">
        <f>(N232/$I$15)</f>
        <v>#DIV/0!</v>
      </c>
      <c r="O233" s="297"/>
      <c r="P233" s="297"/>
      <c r="Q233" s="297"/>
      <c r="R233" s="297"/>
      <c r="S233" s="298"/>
      <c r="T233" s="296" t="e">
        <f>(T232/$I$15)</f>
        <v>#DIV/0!</v>
      </c>
      <c r="U233" s="297"/>
      <c r="V233" s="297"/>
      <c r="W233" s="297"/>
      <c r="X233" s="297"/>
      <c r="Y233" s="298"/>
      <c r="Z233" s="296" t="e">
        <f>(Z232/$I$15)</f>
        <v>#DIV/0!</v>
      </c>
      <c r="AA233" s="297"/>
      <c r="AB233" s="297"/>
      <c r="AC233" s="297"/>
      <c r="AD233" s="297"/>
      <c r="AE233" s="298"/>
      <c r="AF233" s="296" t="e">
        <f>(AF232/$I$15)</f>
        <v>#DIV/0!</v>
      </c>
      <c r="AG233" s="297"/>
      <c r="AH233" s="297"/>
      <c r="AI233" s="297"/>
      <c r="AJ233" s="297"/>
      <c r="AK233" s="298"/>
      <c r="AN233" s="77">
        <f ca="1">SUM(AO232:AR232)</f>
        <v>0</v>
      </c>
    </row>
    <row r="234" spans="1:44" ht="24" customHeight="1" x14ac:dyDescent="0.1">
      <c r="D234" s="288" t="s">
        <v>72</v>
      </c>
      <c r="E234" s="289"/>
      <c r="F234" s="289"/>
      <c r="G234" s="290"/>
      <c r="H234" s="291"/>
      <c r="I234" s="292"/>
      <c r="J234" s="292"/>
      <c r="K234" s="292"/>
      <c r="L234" s="292"/>
      <c r="M234" s="78" t="s">
        <v>1</v>
      </c>
      <c r="N234" s="291"/>
      <c r="O234" s="292"/>
      <c r="P234" s="292"/>
      <c r="Q234" s="292"/>
      <c r="R234" s="292"/>
      <c r="S234" s="78" t="s">
        <v>1</v>
      </c>
      <c r="T234" s="291"/>
      <c r="U234" s="292"/>
      <c r="V234" s="292"/>
      <c r="W234" s="292"/>
      <c r="X234" s="292"/>
      <c r="Y234" s="78" t="s">
        <v>1</v>
      </c>
      <c r="Z234" s="291"/>
      <c r="AA234" s="292"/>
      <c r="AB234" s="292"/>
      <c r="AC234" s="292"/>
      <c r="AD234" s="292"/>
      <c r="AE234" s="78" t="s">
        <v>1</v>
      </c>
      <c r="AF234" s="291"/>
      <c r="AG234" s="292"/>
      <c r="AH234" s="292"/>
      <c r="AI234" s="292"/>
      <c r="AJ234" s="292"/>
      <c r="AK234" s="78" t="s">
        <v>1</v>
      </c>
    </row>
    <row r="235" spans="1:44" ht="24" customHeight="1" x14ac:dyDescent="0.1">
      <c r="D235" s="305" t="s">
        <v>73</v>
      </c>
      <c r="E235" s="306"/>
      <c r="F235" s="306"/>
      <c r="G235" s="307"/>
      <c r="H235" s="308"/>
      <c r="I235" s="309"/>
      <c r="J235" s="309"/>
      <c r="K235" s="309"/>
      <c r="L235" s="309"/>
      <c r="M235" s="79" t="s">
        <v>1</v>
      </c>
      <c r="N235" s="308"/>
      <c r="O235" s="309"/>
      <c r="P235" s="309"/>
      <c r="Q235" s="309"/>
      <c r="R235" s="309"/>
      <c r="S235" s="79" t="s">
        <v>1</v>
      </c>
      <c r="T235" s="308"/>
      <c r="U235" s="309"/>
      <c r="V235" s="309"/>
      <c r="W235" s="309"/>
      <c r="X235" s="309"/>
      <c r="Y235" s="79" t="s">
        <v>1</v>
      </c>
      <c r="Z235" s="308"/>
      <c r="AA235" s="309"/>
      <c r="AB235" s="309"/>
      <c r="AC235" s="309"/>
      <c r="AD235" s="309"/>
      <c r="AE235" s="79" t="s">
        <v>1</v>
      </c>
      <c r="AF235" s="308"/>
      <c r="AG235" s="309"/>
      <c r="AH235" s="309"/>
      <c r="AI235" s="309"/>
      <c r="AJ235" s="309"/>
      <c r="AK235" s="79" t="s">
        <v>1</v>
      </c>
    </row>
    <row r="236" spans="1:44" ht="57.6" customHeight="1" x14ac:dyDescent="0.1">
      <c r="C236" s="108"/>
      <c r="D236" s="354" t="s">
        <v>0</v>
      </c>
      <c r="E236" s="355"/>
      <c r="F236" s="355"/>
      <c r="G236" s="356"/>
      <c r="H236" s="349">
        <f>IFERROR(H235/H234,)</f>
        <v>0</v>
      </c>
      <c r="I236" s="350"/>
      <c r="J236" s="350"/>
      <c r="K236" s="350"/>
      <c r="L236" s="350"/>
      <c r="M236" s="351"/>
      <c r="N236" s="349">
        <f>IFERROR(N235/N234,)</f>
        <v>0</v>
      </c>
      <c r="O236" s="350"/>
      <c r="P236" s="350"/>
      <c r="Q236" s="350"/>
      <c r="R236" s="350"/>
      <c r="S236" s="351"/>
      <c r="T236" s="349">
        <f>IFERROR(T235/T234,)</f>
        <v>0</v>
      </c>
      <c r="U236" s="350"/>
      <c r="V236" s="350"/>
      <c r="W236" s="350"/>
      <c r="X236" s="350"/>
      <c r="Y236" s="351"/>
      <c r="Z236" s="349">
        <f>IFERROR(Z235/Z234,)</f>
        <v>0</v>
      </c>
      <c r="AA236" s="350"/>
      <c r="AB236" s="350"/>
      <c r="AC236" s="350"/>
      <c r="AD236" s="350"/>
      <c r="AE236" s="351"/>
      <c r="AF236" s="349">
        <f>IFERROR(AF235/AF234,)</f>
        <v>0</v>
      </c>
      <c r="AG236" s="350"/>
      <c r="AH236" s="350"/>
      <c r="AI236" s="350"/>
      <c r="AJ236" s="350"/>
      <c r="AK236" s="351"/>
      <c r="AN236" s="81">
        <f>SUM(IF(H236&gt;30%,1,0),IF(N236&gt;30%,1,0),IF(T236&gt;30%,1,0),IF(Z236&gt;30%,1,0),IF(AF236&gt;30%,1,0))</f>
        <v>0</v>
      </c>
    </row>
  </sheetData>
  <sheetProtection selectLockedCells="1"/>
  <dataConsolidate/>
  <mergeCells count="420">
    <mergeCell ref="D236:G236"/>
    <mergeCell ref="H236:M236"/>
    <mergeCell ref="N236:S236"/>
    <mergeCell ref="T236:Y236"/>
    <mergeCell ref="Z236:AE236"/>
    <mergeCell ref="AF236:AK236"/>
    <mergeCell ref="D235:G235"/>
    <mergeCell ref="H235:L235"/>
    <mergeCell ref="N235:R235"/>
    <mergeCell ref="T235:X235"/>
    <mergeCell ref="Z235:AD235"/>
    <mergeCell ref="AF235:AJ235"/>
    <mergeCell ref="D234:G234"/>
    <mergeCell ref="H234:L234"/>
    <mergeCell ref="N234:R234"/>
    <mergeCell ref="T234:X234"/>
    <mergeCell ref="Z234:AD234"/>
    <mergeCell ref="AF234:AJ234"/>
    <mergeCell ref="T232:X232"/>
    <mergeCell ref="Z232:AD232"/>
    <mergeCell ref="AF232:AJ232"/>
    <mergeCell ref="D233:G233"/>
    <mergeCell ref="H233:M233"/>
    <mergeCell ref="N233:S233"/>
    <mergeCell ref="T233:Y233"/>
    <mergeCell ref="Z233:AE233"/>
    <mergeCell ref="AF233:AK233"/>
    <mergeCell ref="D230:E231"/>
    <mergeCell ref="F230:G230"/>
    <mergeCell ref="F231:G231"/>
    <mergeCell ref="D232:G232"/>
    <mergeCell ref="H232:L232"/>
    <mergeCell ref="N232:R232"/>
    <mergeCell ref="T228:Y228"/>
    <mergeCell ref="Z228:AE228"/>
    <mergeCell ref="AF228:AK228"/>
    <mergeCell ref="D229:G229"/>
    <mergeCell ref="H229:M229"/>
    <mergeCell ref="N229:S229"/>
    <mergeCell ref="T229:Y229"/>
    <mergeCell ref="Z229:AE229"/>
    <mergeCell ref="AF229:AK229"/>
    <mergeCell ref="D224:I224"/>
    <mergeCell ref="J224:O225"/>
    <mergeCell ref="D225:I225"/>
    <mergeCell ref="D226:I226"/>
    <mergeCell ref="J226:O226"/>
    <mergeCell ref="D228:G228"/>
    <mergeCell ref="H228:M228"/>
    <mergeCell ref="N228:S228"/>
    <mergeCell ref="D221:G221"/>
    <mergeCell ref="H221:M221"/>
    <mergeCell ref="N221:S221"/>
    <mergeCell ref="T221:Y221"/>
    <mergeCell ref="Z221:AE221"/>
    <mergeCell ref="AF221:AK221"/>
    <mergeCell ref="D220:G220"/>
    <mergeCell ref="H220:L220"/>
    <mergeCell ref="N220:R220"/>
    <mergeCell ref="T220:X220"/>
    <mergeCell ref="Z220:AD220"/>
    <mergeCell ref="AF220:AJ220"/>
    <mergeCell ref="D219:G219"/>
    <mergeCell ref="H219:L219"/>
    <mergeCell ref="N219:R219"/>
    <mergeCell ref="T219:X219"/>
    <mergeCell ref="Z219:AD219"/>
    <mergeCell ref="AF219:AJ219"/>
    <mergeCell ref="T217:X217"/>
    <mergeCell ref="Z217:AD217"/>
    <mergeCell ref="AF217:AJ217"/>
    <mergeCell ref="D218:G218"/>
    <mergeCell ref="H218:M218"/>
    <mergeCell ref="N218:S218"/>
    <mergeCell ref="T218:Y218"/>
    <mergeCell ref="Z218:AE218"/>
    <mergeCell ref="AF218:AK218"/>
    <mergeCell ref="D215:E216"/>
    <mergeCell ref="F215:G215"/>
    <mergeCell ref="F216:G216"/>
    <mergeCell ref="D217:G217"/>
    <mergeCell ref="H217:L217"/>
    <mergeCell ref="N217:R217"/>
    <mergeCell ref="T213:Y213"/>
    <mergeCell ref="Z213:AE213"/>
    <mergeCell ref="AF213:AK213"/>
    <mergeCell ref="D214:G214"/>
    <mergeCell ref="H214:M214"/>
    <mergeCell ref="N214:S214"/>
    <mergeCell ref="T214:Y214"/>
    <mergeCell ref="Z214:AE214"/>
    <mergeCell ref="AF214:AK214"/>
    <mergeCell ref="D209:I209"/>
    <mergeCell ref="J209:O210"/>
    <mergeCell ref="D210:I210"/>
    <mergeCell ref="D211:I211"/>
    <mergeCell ref="J211:O211"/>
    <mergeCell ref="D213:G213"/>
    <mergeCell ref="H213:M213"/>
    <mergeCell ref="N213:S213"/>
    <mergeCell ref="D206:G206"/>
    <mergeCell ref="H206:M206"/>
    <mergeCell ref="N206:S206"/>
    <mergeCell ref="T206:Y206"/>
    <mergeCell ref="Z206:AE206"/>
    <mergeCell ref="AF206:AK206"/>
    <mergeCell ref="D205:G205"/>
    <mergeCell ref="H205:L205"/>
    <mergeCell ref="N205:R205"/>
    <mergeCell ref="T205:X205"/>
    <mergeCell ref="Z205:AD205"/>
    <mergeCell ref="AF205:AJ205"/>
    <mergeCell ref="D204:G204"/>
    <mergeCell ref="H204:L204"/>
    <mergeCell ref="N204:R204"/>
    <mergeCell ref="T204:X204"/>
    <mergeCell ref="Z204:AD204"/>
    <mergeCell ref="AF204:AJ204"/>
    <mergeCell ref="T202:X202"/>
    <mergeCell ref="Z202:AD202"/>
    <mergeCell ref="AF202:AJ202"/>
    <mergeCell ref="D203:G203"/>
    <mergeCell ref="H203:M203"/>
    <mergeCell ref="N203:S203"/>
    <mergeCell ref="T203:Y203"/>
    <mergeCell ref="Z203:AE203"/>
    <mergeCell ref="AF203:AK203"/>
    <mergeCell ref="D200:E201"/>
    <mergeCell ref="F200:G200"/>
    <mergeCell ref="F201:G201"/>
    <mergeCell ref="D202:G202"/>
    <mergeCell ref="H202:L202"/>
    <mergeCell ref="N202:R202"/>
    <mergeCell ref="D199:G199"/>
    <mergeCell ref="H199:M199"/>
    <mergeCell ref="N199:S199"/>
    <mergeCell ref="T199:Y199"/>
    <mergeCell ref="Z199:AE199"/>
    <mergeCell ref="AF199:AK199"/>
    <mergeCell ref="D198:G198"/>
    <mergeCell ref="H198:M198"/>
    <mergeCell ref="N198:S198"/>
    <mergeCell ref="T198:Y198"/>
    <mergeCell ref="Z198:AE198"/>
    <mergeCell ref="AF198:AK198"/>
    <mergeCell ref="D189:AL190"/>
    <mergeCell ref="D194:I194"/>
    <mergeCell ref="J194:O195"/>
    <mergeCell ref="D195:I195"/>
    <mergeCell ref="D196:I196"/>
    <mergeCell ref="J196:O196"/>
    <mergeCell ref="Z184:AE184"/>
    <mergeCell ref="AF184:AK184"/>
    <mergeCell ref="D185:G185"/>
    <mergeCell ref="H185:M185"/>
    <mergeCell ref="N185:S185"/>
    <mergeCell ref="T185:Y185"/>
    <mergeCell ref="Z185:AE185"/>
    <mergeCell ref="AF185:AK185"/>
    <mergeCell ref="AF182:AK182"/>
    <mergeCell ref="D183:G183"/>
    <mergeCell ref="H183:M183"/>
    <mergeCell ref="N183:S183"/>
    <mergeCell ref="T183:Y183"/>
    <mergeCell ref="Z183:AE183"/>
    <mergeCell ref="AF183:AK183"/>
    <mergeCell ref="C182:C184"/>
    <mergeCell ref="D182:G182"/>
    <mergeCell ref="H182:M182"/>
    <mergeCell ref="N182:S182"/>
    <mergeCell ref="T182:Y182"/>
    <mergeCell ref="Z182:AE182"/>
    <mergeCell ref="D184:G184"/>
    <mergeCell ref="H184:M184"/>
    <mergeCell ref="N184:S184"/>
    <mergeCell ref="T184:Y184"/>
    <mergeCell ref="D181:G181"/>
    <mergeCell ref="H181:M181"/>
    <mergeCell ref="N181:S181"/>
    <mergeCell ref="T181:Y181"/>
    <mergeCell ref="Z181:AE181"/>
    <mergeCell ref="AF181:AK181"/>
    <mergeCell ref="D180:G180"/>
    <mergeCell ref="H180:L180"/>
    <mergeCell ref="N180:R180"/>
    <mergeCell ref="T180:X180"/>
    <mergeCell ref="Z180:AD180"/>
    <mergeCell ref="AF180:AJ180"/>
    <mergeCell ref="D179:G179"/>
    <mergeCell ref="H179:L179"/>
    <mergeCell ref="N179:R179"/>
    <mergeCell ref="T179:X179"/>
    <mergeCell ref="Z179:AD179"/>
    <mergeCell ref="AF179:AJ179"/>
    <mergeCell ref="T177:X177"/>
    <mergeCell ref="Z177:AD177"/>
    <mergeCell ref="AF177:AJ177"/>
    <mergeCell ref="D178:G178"/>
    <mergeCell ref="H178:M178"/>
    <mergeCell ref="N178:S178"/>
    <mergeCell ref="T178:Y178"/>
    <mergeCell ref="Z178:AE178"/>
    <mergeCell ref="AF178:AK178"/>
    <mergeCell ref="D175:E176"/>
    <mergeCell ref="F175:G175"/>
    <mergeCell ref="F176:G176"/>
    <mergeCell ref="D177:G177"/>
    <mergeCell ref="H177:L177"/>
    <mergeCell ref="N177:R177"/>
    <mergeCell ref="D174:G174"/>
    <mergeCell ref="H174:M174"/>
    <mergeCell ref="N174:S174"/>
    <mergeCell ref="T174:Y174"/>
    <mergeCell ref="Z174:AE174"/>
    <mergeCell ref="AF174:AK174"/>
    <mergeCell ref="D167:AL167"/>
    <mergeCell ref="D168:AL172"/>
    <mergeCell ref="D173:G173"/>
    <mergeCell ref="H173:M173"/>
    <mergeCell ref="N173:S173"/>
    <mergeCell ref="T173:Y173"/>
    <mergeCell ref="Z173:AE173"/>
    <mergeCell ref="AF173:AK173"/>
    <mergeCell ref="D154:AK154"/>
    <mergeCell ref="D155:AK157"/>
    <mergeCell ref="D160:AL160"/>
    <mergeCell ref="D161:AL161"/>
    <mergeCell ref="D162:AL163"/>
    <mergeCell ref="C164:C165"/>
    <mergeCell ref="D164:N164"/>
    <mergeCell ref="D165:N165"/>
    <mergeCell ref="D143:AK143"/>
    <mergeCell ref="D144:AK146"/>
    <mergeCell ref="D149:AK149"/>
    <mergeCell ref="C151:C152"/>
    <mergeCell ref="D151:AK151"/>
    <mergeCell ref="D152:AK152"/>
    <mergeCell ref="D132:H132"/>
    <mergeCell ref="D134:AK135"/>
    <mergeCell ref="D138:AK138"/>
    <mergeCell ref="D139:AK139"/>
    <mergeCell ref="D140:AK140"/>
    <mergeCell ref="D141:AK141"/>
    <mergeCell ref="D126:AK126"/>
    <mergeCell ref="D127:AK127"/>
    <mergeCell ref="D128:AK128"/>
    <mergeCell ref="D129:AK129"/>
    <mergeCell ref="D130:AK130"/>
    <mergeCell ref="D131:AK131"/>
    <mergeCell ref="D121:H121"/>
    <mergeCell ref="I121:S121"/>
    <mergeCell ref="T121:Z121"/>
    <mergeCell ref="D123:AL123"/>
    <mergeCell ref="D124:AK124"/>
    <mergeCell ref="D125:AK125"/>
    <mergeCell ref="D118:S118"/>
    <mergeCell ref="T118:Z118"/>
    <mergeCell ref="D119:S119"/>
    <mergeCell ref="T119:Z119"/>
    <mergeCell ref="D120:S120"/>
    <mergeCell ref="T120:Z120"/>
    <mergeCell ref="D115:S115"/>
    <mergeCell ref="T115:Z115"/>
    <mergeCell ref="D116:S116"/>
    <mergeCell ref="T116:Z116"/>
    <mergeCell ref="D117:S117"/>
    <mergeCell ref="T117:Z117"/>
    <mergeCell ref="D112:S112"/>
    <mergeCell ref="T112:Z112"/>
    <mergeCell ref="D113:S113"/>
    <mergeCell ref="T113:Z113"/>
    <mergeCell ref="D114:S114"/>
    <mergeCell ref="T114:Z114"/>
    <mergeCell ref="D106:AK106"/>
    <mergeCell ref="D107:AK107"/>
    <mergeCell ref="D108:AK108"/>
    <mergeCell ref="D110:S110"/>
    <mergeCell ref="T110:Z110"/>
    <mergeCell ref="D111:S111"/>
    <mergeCell ref="T111:Z111"/>
    <mergeCell ref="D100:F100"/>
    <mergeCell ref="G100:AK100"/>
    <mergeCell ref="D102:F102"/>
    <mergeCell ref="G102:L102"/>
    <mergeCell ref="D103:G103"/>
    <mergeCell ref="J103:P103"/>
    <mergeCell ref="R103:W103"/>
    <mergeCell ref="Y103:AF103"/>
    <mergeCell ref="D96:G96"/>
    <mergeCell ref="J96:P96"/>
    <mergeCell ref="R96:W96"/>
    <mergeCell ref="Y96:AF96"/>
    <mergeCell ref="D99:F99"/>
    <mergeCell ref="G99:AK99"/>
    <mergeCell ref="D92:F92"/>
    <mergeCell ref="G92:AK92"/>
    <mergeCell ref="D93:F93"/>
    <mergeCell ref="G93:AK93"/>
    <mergeCell ref="D95:F95"/>
    <mergeCell ref="G95:L95"/>
    <mergeCell ref="D86:F86"/>
    <mergeCell ref="G86:AK86"/>
    <mergeCell ref="D88:F88"/>
    <mergeCell ref="G88:L88"/>
    <mergeCell ref="D89:G89"/>
    <mergeCell ref="J89:P89"/>
    <mergeCell ref="R89:W89"/>
    <mergeCell ref="Y89:AF89"/>
    <mergeCell ref="D79:AK79"/>
    <mergeCell ref="D80:AK80"/>
    <mergeCell ref="D82:AK82"/>
    <mergeCell ref="D83:AK83"/>
    <mergeCell ref="D85:F85"/>
    <mergeCell ref="G85:AK85"/>
    <mergeCell ref="D72:AK72"/>
    <mergeCell ref="D73:AK73"/>
    <mergeCell ref="D74:H74"/>
    <mergeCell ref="I74:AK74"/>
    <mergeCell ref="B76:B78"/>
    <mergeCell ref="C76:C78"/>
    <mergeCell ref="D76:AK78"/>
    <mergeCell ref="D66:AK66"/>
    <mergeCell ref="D67:AK67"/>
    <mergeCell ref="D68:AK68"/>
    <mergeCell ref="D69:AK69"/>
    <mergeCell ref="D70:AK70"/>
    <mergeCell ref="D71:AK71"/>
    <mergeCell ref="D56:AK57"/>
    <mergeCell ref="D58:AK58"/>
    <mergeCell ref="D59:AK59"/>
    <mergeCell ref="D62:AK62"/>
    <mergeCell ref="D64:AK64"/>
    <mergeCell ref="D65:AK65"/>
    <mergeCell ref="D45:AK45"/>
    <mergeCell ref="D46:AK46"/>
    <mergeCell ref="D48:AK48"/>
    <mergeCell ref="D50:AK51"/>
    <mergeCell ref="C53:C54"/>
    <mergeCell ref="D53:AK53"/>
    <mergeCell ref="D54:AK54"/>
    <mergeCell ref="D42:N42"/>
    <mergeCell ref="O42:V42"/>
    <mergeCell ref="W42:AD42"/>
    <mergeCell ref="AE42:AK42"/>
    <mergeCell ref="D43:N43"/>
    <mergeCell ref="O43:V43"/>
    <mergeCell ref="W43:AD43"/>
    <mergeCell ref="AE43:AK43"/>
    <mergeCell ref="D40:N40"/>
    <mergeCell ref="O40:V40"/>
    <mergeCell ref="W40:AD40"/>
    <mergeCell ref="AE40:AK40"/>
    <mergeCell ref="D41:N41"/>
    <mergeCell ref="O41:V41"/>
    <mergeCell ref="W41:AD41"/>
    <mergeCell ref="AE41:AK41"/>
    <mergeCell ref="D38:N38"/>
    <mergeCell ref="O38:V38"/>
    <mergeCell ref="W38:AD38"/>
    <mergeCell ref="AE38:AK38"/>
    <mergeCell ref="D39:N39"/>
    <mergeCell ref="O39:V39"/>
    <mergeCell ref="W39:AD39"/>
    <mergeCell ref="AE39:AK39"/>
    <mergeCell ref="D35:AK35"/>
    <mergeCell ref="D36:N36"/>
    <mergeCell ref="O36:V36"/>
    <mergeCell ref="W36:AD36"/>
    <mergeCell ref="AE36:AK36"/>
    <mergeCell ref="D37:N37"/>
    <mergeCell ref="O37:V37"/>
    <mergeCell ref="W37:AD37"/>
    <mergeCell ref="AE37:AK37"/>
    <mergeCell ref="D31:G31"/>
    <mergeCell ref="H31:AK31"/>
    <mergeCell ref="D32:G32"/>
    <mergeCell ref="H32:AK32"/>
    <mergeCell ref="D33:G33"/>
    <mergeCell ref="H33:AK33"/>
    <mergeCell ref="D25:AL26"/>
    <mergeCell ref="D28:F28"/>
    <mergeCell ref="D29:G29"/>
    <mergeCell ref="H29:AK29"/>
    <mergeCell ref="D30:G30"/>
    <mergeCell ref="H30:AK30"/>
    <mergeCell ref="D20:H21"/>
    <mergeCell ref="I20:O21"/>
    <mergeCell ref="P20:U21"/>
    <mergeCell ref="V20:AA21"/>
    <mergeCell ref="D22:H22"/>
    <mergeCell ref="I22:O22"/>
    <mergeCell ref="P22:U22"/>
    <mergeCell ref="V22:AA22"/>
    <mergeCell ref="D18:O18"/>
    <mergeCell ref="P18:AA18"/>
    <mergeCell ref="D19:H19"/>
    <mergeCell ref="I19:O19"/>
    <mergeCell ref="P19:U19"/>
    <mergeCell ref="V19:AA19"/>
    <mergeCell ref="D15:H15"/>
    <mergeCell ref="I15:O15"/>
    <mergeCell ref="P15:U15"/>
    <mergeCell ref="V15:AA15"/>
    <mergeCell ref="D7:AL9"/>
    <mergeCell ref="D11:O11"/>
    <mergeCell ref="P11:AA11"/>
    <mergeCell ref="D12:H12"/>
    <mergeCell ref="I12:O12"/>
    <mergeCell ref="P12:U12"/>
    <mergeCell ref="V12:AA12"/>
    <mergeCell ref="A2:AL2"/>
    <mergeCell ref="V4:Z4"/>
    <mergeCell ref="AA4:AD4"/>
    <mergeCell ref="AE4:AH4"/>
    <mergeCell ref="AI4:AL4"/>
    <mergeCell ref="D6:AK6"/>
    <mergeCell ref="D13:H14"/>
    <mergeCell ref="I13:O14"/>
    <mergeCell ref="P13:U14"/>
    <mergeCell ref="V13:AA14"/>
  </mergeCells>
  <phoneticPr fontId="12"/>
  <conditionalFormatting sqref="H175">
    <cfRule type="expression" dxfId="142" priority="140">
      <formula>AND(H174&lt;&gt;"",H175="")</formula>
    </cfRule>
  </conditionalFormatting>
  <conditionalFormatting sqref="H176">
    <cfRule type="expression" dxfId="141" priority="139">
      <formula>AND(H174&lt;&gt;"",H176="")</formula>
    </cfRule>
  </conditionalFormatting>
  <conditionalFormatting sqref="H200">
    <cfRule type="expression" dxfId="140" priority="107">
      <formula>AND(H199&lt;&gt;"",H200="")</formula>
    </cfRule>
  </conditionalFormatting>
  <conditionalFormatting sqref="H201">
    <cfRule type="expression" dxfId="139" priority="106">
      <formula>AND(H199&lt;&gt;"",H201="")</formula>
    </cfRule>
  </conditionalFormatting>
  <conditionalFormatting sqref="H215">
    <cfRule type="expression" dxfId="138" priority="86">
      <formula>AND(H214&lt;&gt;"",H215="")</formula>
    </cfRule>
  </conditionalFormatting>
  <conditionalFormatting sqref="H216">
    <cfRule type="expression" dxfId="137" priority="85">
      <formula>AND(H214&lt;&gt;"",H216="")</formula>
    </cfRule>
  </conditionalFormatting>
  <conditionalFormatting sqref="H230">
    <cfRule type="expression" dxfId="136" priority="65">
      <formula>AND(H229&lt;&gt;"",H230="")</formula>
    </cfRule>
  </conditionalFormatting>
  <conditionalFormatting sqref="H231">
    <cfRule type="expression" dxfId="135" priority="64">
      <formula>AND(H229&lt;&gt;"",H231="")</formula>
    </cfRule>
  </conditionalFormatting>
  <conditionalFormatting sqref="H179:L179 N179:R179 T179:X179 Z179:AD179 AF179:AJ179">
    <cfRule type="expression" dxfId="134" priority="134">
      <formula>AND(H174&lt;&gt;"",H179="")</formula>
    </cfRule>
  </conditionalFormatting>
  <conditionalFormatting sqref="H180:L180 N180:R180 T180:X180 Z180:AD180 AF180:AJ180">
    <cfRule type="expression" dxfId="133" priority="133">
      <formula>AND(H174&lt;&gt;"",H180="")</formula>
    </cfRule>
  </conditionalFormatting>
  <conditionalFormatting sqref="H204:L204 N204:R204 T204:X204">
    <cfRule type="expression" dxfId="132" priority="101">
      <formula>AND(H199&lt;&gt;"",H204="")</formula>
    </cfRule>
  </conditionalFormatting>
  <conditionalFormatting sqref="H205:L205 N205:R205 T205:X205">
    <cfRule type="expression" dxfId="131" priority="100">
      <formula>AND(H199&lt;&gt;"",H205="")</formula>
    </cfRule>
  </conditionalFormatting>
  <conditionalFormatting sqref="H219:L219 N219:R219 T219:X219">
    <cfRule type="expression" dxfId="130" priority="80">
      <formula>AND(H214&lt;&gt;"",H219="")</formula>
    </cfRule>
  </conditionalFormatting>
  <conditionalFormatting sqref="H220:L220 N220:R220 T220:X220">
    <cfRule type="expression" dxfId="129" priority="79">
      <formula>AND(H214&lt;&gt;"",H220="")</formula>
    </cfRule>
  </conditionalFormatting>
  <conditionalFormatting sqref="H234:L234 N234:R234 T234:X234">
    <cfRule type="expression" dxfId="128" priority="59">
      <formula>AND(H229&lt;&gt;"",H234="")</formula>
    </cfRule>
  </conditionalFormatting>
  <conditionalFormatting sqref="H235:L235 N235:R235 T235:X235">
    <cfRule type="expression" dxfId="127" priority="58">
      <formula>AND(H229&lt;&gt;"",H235="")</formula>
    </cfRule>
  </conditionalFormatting>
  <conditionalFormatting sqref="H177:AK177">
    <cfRule type="expression" dxfId="126" priority="143">
      <formula>AND(H174&lt;&gt;"",H177="")</formula>
    </cfRule>
  </conditionalFormatting>
  <conditionalFormatting sqref="H182:AK182">
    <cfRule type="expression" dxfId="125" priority="144">
      <formula>AND(H182="",H174&lt;&gt;"")</formula>
    </cfRule>
  </conditionalFormatting>
  <conditionalFormatting sqref="H184:AK184">
    <cfRule type="expression" dxfId="124" priority="141">
      <formula>AND(H182="地場産品",H184="")</formula>
    </cfRule>
  </conditionalFormatting>
  <conditionalFormatting sqref="H185:AK185">
    <cfRule type="expression" dxfId="123" priority="145">
      <formula>AND(#REF!="取りやめ済",H185="")</formula>
    </cfRule>
  </conditionalFormatting>
  <conditionalFormatting sqref="H186:AK186">
    <cfRule type="expression" dxfId="122" priority="142">
      <formula>AND(H185="取りやめ済",H186="")</formula>
    </cfRule>
  </conditionalFormatting>
  <conditionalFormatting sqref="H202:AK202">
    <cfRule type="expression" dxfId="121" priority="45">
      <formula>AND(H199&lt;&gt;"",H202="")</formula>
    </cfRule>
  </conditionalFormatting>
  <conditionalFormatting sqref="H217:AK217">
    <cfRule type="expression" dxfId="120" priority="30">
      <formula>AND(H214&lt;&gt;"",H217="")</formula>
    </cfRule>
  </conditionalFormatting>
  <conditionalFormatting sqref="H232:AK232">
    <cfRule type="expression" dxfId="119" priority="15">
      <formula>AND(H229&lt;&gt;"",H232="")</formula>
    </cfRule>
  </conditionalFormatting>
  <conditionalFormatting sqref="J175">
    <cfRule type="expression" dxfId="118" priority="138">
      <formula>AND(H174&lt;&gt;"",J175="")</formula>
    </cfRule>
  </conditionalFormatting>
  <conditionalFormatting sqref="J176">
    <cfRule type="expression" dxfId="117" priority="137">
      <formula>AND(H174&lt;&gt;"",J176="")</formula>
    </cfRule>
  </conditionalFormatting>
  <conditionalFormatting sqref="J200">
    <cfRule type="expression" dxfId="116" priority="105">
      <formula>AND(H199&lt;&gt;"",J200="")</formula>
    </cfRule>
  </conditionalFormatting>
  <conditionalFormatting sqref="J201">
    <cfRule type="expression" dxfId="115" priority="104">
      <formula>AND(H199&lt;&gt;"",J201="")</formula>
    </cfRule>
  </conditionalFormatting>
  <conditionalFormatting sqref="J215">
    <cfRule type="expression" dxfId="114" priority="84">
      <formula>AND(H214&lt;&gt;"",J215="")</formula>
    </cfRule>
  </conditionalFormatting>
  <conditionalFormatting sqref="J216">
    <cfRule type="expression" dxfId="113" priority="83">
      <formula>AND(H214&lt;&gt;"",J216="")</formula>
    </cfRule>
  </conditionalFormatting>
  <conditionalFormatting sqref="J230">
    <cfRule type="expression" dxfId="112" priority="63">
      <formula>AND(H229&lt;&gt;"",J230="")</formula>
    </cfRule>
  </conditionalFormatting>
  <conditionalFormatting sqref="J231">
    <cfRule type="expression" dxfId="111" priority="62">
      <formula>AND(H229&lt;&gt;"",J231="")</formula>
    </cfRule>
  </conditionalFormatting>
  <conditionalFormatting sqref="L175">
    <cfRule type="expression" dxfId="110" priority="136">
      <formula>AND(H174&lt;&gt;"",L175="")</formula>
    </cfRule>
  </conditionalFormatting>
  <conditionalFormatting sqref="L176">
    <cfRule type="expression" dxfId="109" priority="135">
      <formula>AND(H174&lt;&gt;"",L176="")</formula>
    </cfRule>
  </conditionalFormatting>
  <conditionalFormatting sqref="L200">
    <cfRule type="expression" dxfId="108" priority="103">
      <formula>AND(H199&lt;&gt;"",L200="")</formula>
    </cfRule>
  </conditionalFormatting>
  <conditionalFormatting sqref="L201">
    <cfRule type="expression" dxfId="107" priority="102">
      <formula>AND(H199&lt;&gt;"",L201="")</formula>
    </cfRule>
  </conditionalFormatting>
  <conditionalFormatting sqref="L215">
    <cfRule type="expression" dxfId="106" priority="82">
      <formula>AND(H214&lt;&gt;"",L215="")</formula>
    </cfRule>
  </conditionalFormatting>
  <conditionalFormatting sqref="L216">
    <cfRule type="expression" dxfId="105" priority="81">
      <formula>AND(H214&lt;&gt;"",L216="")</formula>
    </cfRule>
  </conditionalFormatting>
  <conditionalFormatting sqref="L230">
    <cfRule type="expression" dxfId="104" priority="61">
      <formula>AND(H229&lt;&gt;"",L230="")</formula>
    </cfRule>
  </conditionalFormatting>
  <conditionalFormatting sqref="L231">
    <cfRule type="expression" dxfId="103" priority="60">
      <formula>AND(H229&lt;&gt;"",L231="")</formula>
    </cfRule>
  </conditionalFormatting>
  <conditionalFormatting sqref="N175">
    <cfRule type="expression" dxfId="102" priority="132">
      <formula>AND(N174&lt;&gt;"",N175="")</formula>
    </cfRule>
  </conditionalFormatting>
  <conditionalFormatting sqref="N176">
    <cfRule type="expression" dxfId="101" priority="131">
      <formula>AND(N174&lt;&gt;"",N176="")</formula>
    </cfRule>
  </conditionalFormatting>
  <conditionalFormatting sqref="N200">
    <cfRule type="expression" dxfId="100" priority="99">
      <formula>AND(N199&lt;&gt;"",N200="")</formula>
    </cfRule>
  </conditionalFormatting>
  <conditionalFormatting sqref="N201">
    <cfRule type="expression" dxfId="99" priority="98">
      <formula>AND(N199&lt;&gt;"",N201="")</formula>
    </cfRule>
  </conditionalFormatting>
  <conditionalFormatting sqref="N215">
    <cfRule type="expression" dxfId="98" priority="78">
      <formula>AND(N214&lt;&gt;"",N215="")</formula>
    </cfRule>
  </conditionalFormatting>
  <conditionalFormatting sqref="N216">
    <cfRule type="expression" dxfId="97" priority="77">
      <formula>AND(N214&lt;&gt;"",N216="")</formula>
    </cfRule>
  </conditionalFormatting>
  <conditionalFormatting sqref="N230">
    <cfRule type="expression" dxfId="96" priority="57">
      <formula>AND(N229&lt;&gt;"",N230="")</formula>
    </cfRule>
  </conditionalFormatting>
  <conditionalFormatting sqref="N231">
    <cfRule type="expression" dxfId="95" priority="56">
      <formula>AND(N229&lt;&gt;"",N231="")</formula>
    </cfRule>
  </conditionalFormatting>
  <conditionalFormatting sqref="P175">
    <cfRule type="expression" dxfId="94" priority="130">
      <formula>AND(N174&lt;&gt;"",P175="")</formula>
    </cfRule>
  </conditionalFormatting>
  <conditionalFormatting sqref="P176">
    <cfRule type="expression" dxfId="93" priority="129">
      <formula>AND(N174&lt;&gt;"",P176="")</formula>
    </cfRule>
  </conditionalFormatting>
  <conditionalFormatting sqref="P200">
    <cfRule type="expression" dxfId="92" priority="97">
      <formula>AND(N199&lt;&gt;"",P200="")</formula>
    </cfRule>
  </conditionalFormatting>
  <conditionalFormatting sqref="P201">
    <cfRule type="expression" dxfId="91" priority="96">
      <formula>AND(N199&lt;&gt;"",P201="")</formula>
    </cfRule>
  </conditionalFormatting>
  <conditionalFormatting sqref="P215">
    <cfRule type="expression" dxfId="90" priority="76">
      <formula>AND(N214&lt;&gt;"",P215="")</formula>
    </cfRule>
  </conditionalFormatting>
  <conditionalFormatting sqref="P216">
    <cfRule type="expression" dxfId="89" priority="75">
      <formula>AND(N214&lt;&gt;"",P216="")</formula>
    </cfRule>
  </conditionalFormatting>
  <conditionalFormatting sqref="P230">
    <cfRule type="expression" dxfId="88" priority="55">
      <formula>AND(N229&lt;&gt;"",P230="")</formula>
    </cfRule>
  </conditionalFormatting>
  <conditionalFormatting sqref="P231">
    <cfRule type="expression" dxfId="87" priority="54">
      <formula>AND(N229&lt;&gt;"",P231="")</formula>
    </cfRule>
  </conditionalFormatting>
  <conditionalFormatting sqref="R175">
    <cfRule type="expression" dxfId="86" priority="128">
      <formula>AND(N174&lt;&gt;"",R175="")</formula>
    </cfRule>
  </conditionalFormatting>
  <conditionalFormatting sqref="R176">
    <cfRule type="expression" dxfId="85" priority="127">
      <formula>AND(N174&lt;&gt;"",R176="")</formula>
    </cfRule>
  </conditionalFormatting>
  <conditionalFormatting sqref="R200">
    <cfRule type="expression" dxfId="84" priority="95">
      <formula>AND(N199&lt;&gt;"",R200="")</formula>
    </cfRule>
  </conditionalFormatting>
  <conditionalFormatting sqref="R201">
    <cfRule type="expression" dxfId="83" priority="94">
      <formula>AND(N199&lt;&gt;"",R201="")</formula>
    </cfRule>
  </conditionalFormatting>
  <conditionalFormatting sqref="R215">
    <cfRule type="expression" dxfId="82" priority="74">
      <formula>AND(N214&lt;&gt;"",R215="")</formula>
    </cfRule>
  </conditionalFormatting>
  <conditionalFormatting sqref="R216">
    <cfRule type="expression" dxfId="81" priority="73">
      <formula>AND(N214&lt;&gt;"",R216="")</formula>
    </cfRule>
  </conditionalFormatting>
  <conditionalFormatting sqref="R230">
    <cfRule type="expression" dxfId="80" priority="53">
      <formula>AND(N229&lt;&gt;"",R230="")</formula>
    </cfRule>
  </conditionalFormatting>
  <conditionalFormatting sqref="R231">
    <cfRule type="expression" dxfId="79" priority="52">
      <formula>AND(N229&lt;&gt;"",R231="")</formula>
    </cfRule>
  </conditionalFormatting>
  <conditionalFormatting sqref="T175">
    <cfRule type="expression" dxfId="78" priority="126">
      <formula>AND(T174&lt;&gt;"",T175="")</formula>
    </cfRule>
  </conditionalFormatting>
  <conditionalFormatting sqref="T176">
    <cfRule type="expression" dxfId="77" priority="125">
      <formula>AND(T174&lt;&gt;"",T176="")</formula>
    </cfRule>
  </conditionalFormatting>
  <conditionalFormatting sqref="T200">
    <cfRule type="expression" dxfId="76" priority="93">
      <formula>AND(T199&lt;&gt;"",T200="")</formula>
    </cfRule>
  </conditionalFormatting>
  <conditionalFormatting sqref="T201">
    <cfRule type="expression" dxfId="75" priority="92">
      <formula>AND(T199&lt;&gt;"",T201="")</formula>
    </cfRule>
  </conditionalFormatting>
  <conditionalFormatting sqref="T215">
    <cfRule type="expression" dxfId="74" priority="72">
      <formula>AND(T214&lt;&gt;"",T215="")</formula>
    </cfRule>
  </conditionalFormatting>
  <conditionalFormatting sqref="T216">
    <cfRule type="expression" dxfId="73" priority="71">
      <formula>AND(T214&lt;&gt;"",T216="")</formula>
    </cfRule>
  </conditionalFormatting>
  <conditionalFormatting sqref="T230">
    <cfRule type="expression" dxfId="72" priority="51">
      <formula>AND(T229&lt;&gt;"",T230="")</formula>
    </cfRule>
  </conditionalFormatting>
  <conditionalFormatting sqref="T231">
    <cfRule type="expression" dxfId="71" priority="50">
      <formula>AND(T229&lt;&gt;"",T231="")</formula>
    </cfRule>
  </conditionalFormatting>
  <conditionalFormatting sqref="V175">
    <cfRule type="expression" dxfId="70" priority="124">
      <formula>AND(T174&lt;&gt;"",V175="")</formula>
    </cfRule>
  </conditionalFormatting>
  <conditionalFormatting sqref="V176">
    <cfRule type="expression" dxfId="69" priority="123">
      <formula>AND(T174&lt;&gt;"",V176="")</formula>
    </cfRule>
  </conditionalFormatting>
  <conditionalFormatting sqref="V200">
    <cfRule type="expression" dxfId="68" priority="91">
      <formula>AND(T199&lt;&gt;"",V200="")</formula>
    </cfRule>
  </conditionalFormatting>
  <conditionalFormatting sqref="V201">
    <cfRule type="expression" dxfId="67" priority="90">
      <formula>AND(T199&lt;&gt;"",V201="")</formula>
    </cfRule>
  </conditionalFormatting>
  <conditionalFormatting sqref="V215">
    <cfRule type="expression" dxfId="66" priority="70">
      <formula>AND(T214&lt;&gt;"",V215="")</formula>
    </cfRule>
  </conditionalFormatting>
  <conditionalFormatting sqref="V216">
    <cfRule type="expression" dxfId="65" priority="69">
      <formula>AND(T214&lt;&gt;"",V216="")</formula>
    </cfRule>
  </conditionalFormatting>
  <conditionalFormatting sqref="V230">
    <cfRule type="expression" dxfId="64" priority="49">
      <formula>AND(T229&lt;&gt;"",V230="")</formula>
    </cfRule>
  </conditionalFormatting>
  <conditionalFormatting sqref="V231">
    <cfRule type="expression" dxfId="63" priority="48">
      <formula>AND(T229&lt;&gt;"",V231="")</formula>
    </cfRule>
  </conditionalFormatting>
  <conditionalFormatting sqref="X175">
    <cfRule type="expression" dxfId="62" priority="122">
      <formula>AND(T174&lt;&gt;"",X175="")</formula>
    </cfRule>
  </conditionalFormatting>
  <conditionalFormatting sqref="X176">
    <cfRule type="expression" dxfId="61" priority="121">
      <formula>AND(T174&lt;&gt;"",X176="")</formula>
    </cfRule>
  </conditionalFormatting>
  <conditionalFormatting sqref="X200">
    <cfRule type="expression" dxfId="60" priority="89">
      <formula>AND(T199&lt;&gt;"",X200="")</formula>
    </cfRule>
  </conditionalFormatting>
  <conditionalFormatting sqref="X201">
    <cfRule type="expression" dxfId="59" priority="88">
      <formula>AND(T199&lt;&gt;"",X201="")</formula>
    </cfRule>
  </conditionalFormatting>
  <conditionalFormatting sqref="X215">
    <cfRule type="expression" dxfId="58" priority="68">
      <formula>AND(T214&lt;&gt;"",X215="")</formula>
    </cfRule>
  </conditionalFormatting>
  <conditionalFormatting sqref="X216">
    <cfRule type="expression" dxfId="57" priority="67">
      <formula>AND(T214&lt;&gt;"",X216="")</formula>
    </cfRule>
  </conditionalFormatting>
  <conditionalFormatting sqref="X230">
    <cfRule type="expression" dxfId="56" priority="47">
      <formula>AND(T229&lt;&gt;"",X230="")</formula>
    </cfRule>
  </conditionalFormatting>
  <conditionalFormatting sqref="X231">
    <cfRule type="expression" dxfId="55" priority="46">
      <formula>AND(T229&lt;&gt;"",X231="")</formula>
    </cfRule>
  </conditionalFormatting>
  <conditionalFormatting sqref="Z175">
    <cfRule type="expression" dxfId="54" priority="120">
      <formula>AND(Z174&lt;&gt;"",Z175="")</formula>
    </cfRule>
  </conditionalFormatting>
  <conditionalFormatting sqref="Z176">
    <cfRule type="expression" dxfId="53" priority="119">
      <formula>AND(Z174&lt;&gt;"",Z176="")</formula>
    </cfRule>
  </conditionalFormatting>
  <conditionalFormatting sqref="Z200">
    <cfRule type="expression" dxfId="52" priority="42">
      <formula>AND(Z199&lt;&gt;"",Z200="")</formula>
    </cfRule>
  </conditionalFormatting>
  <conditionalFormatting sqref="Z201">
    <cfRule type="expression" dxfId="51" priority="41">
      <formula>AND(Z199&lt;&gt;"",Z201="")</formula>
    </cfRule>
  </conditionalFormatting>
  <conditionalFormatting sqref="Z215">
    <cfRule type="expression" dxfId="50" priority="27">
      <formula>AND(Z214&lt;&gt;"",Z215="")</formula>
    </cfRule>
  </conditionalFormatting>
  <conditionalFormatting sqref="Z216">
    <cfRule type="expression" dxfId="49" priority="26">
      <formula>AND(Z214&lt;&gt;"",Z216="")</formula>
    </cfRule>
  </conditionalFormatting>
  <conditionalFormatting sqref="Z230">
    <cfRule type="expression" dxfId="48" priority="12">
      <formula>AND(Z229&lt;&gt;"",Z230="")</formula>
    </cfRule>
  </conditionalFormatting>
  <conditionalFormatting sqref="Z231">
    <cfRule type="expression" dxfId="47" priority="11">
      <formula>AND(Z229&lt;&gt;"",Z231="")</formula>
    </cfRule>
  </conditionalFormatting>
  <conditionalFormatting sqref="Z204:AD204 AF204:AJ204">
    <cfRule type="expression" dxfId="46" priority="44">
      <formula>AND(Z199&lt;&gt;"",Z204="")</formula>
    </cfRule>
  </conditionalFormatting>
  <conditionalFormatting sqref="Z205:AD205 AF205:AJ205">
    <cfRule type="expression" dxfId="45" priority="43">
      <formula>AND(Z199&lt;&gt;"",Z205="")</formula>
    </cfRule>
  </conditionalFormatting>
  <conditionalFormatting sqref="Z219:AD219 AF219:AJ219">
    <cfRule type="expression" dxfId="44" priority="29">
      <formula>AND(Z214&lt;&gt;"",Z219="")</formula>
    </cfRule>
  </conditionalFormatting>
  <conditionalFormatting sqref="Z220:AD220 AF220:AJ220">
    <cfRule type="expression" dxfId="43" priority="28">
      <formula>AND(Z214&lt;&gt;"",Z220="")</formula>
    </cfRule>
  </conditionalFormatting>
  <conditionalFormatting sqref="Z234:AD234 AF234:AJ234">
    <cfRule type="expression" dxfId="42" priority="14">
      <formula>AND(Z229&lt;&gt;"",Z234="")</formula>
    </cfRule>
  </conditionalFormatting>
  <conditionalFormatting sqref="Z235:AD235 AF235:AJ235">
    <cfRule type="expression" dxfId="41" priority="13">
      <formula>AND(Z229&lt;&gt;"",Z235="")</formula>
    </cfRule>
  </conditionalFormatting>
  <conditionalFormatting sqref="AB175">
    <cfRule type="expression" dxfId="40" priority="118">
      <formula>AND(Z174&lt;&gt;"",AB175="")</formula>
    </cfRule>
  </conditionalFormatting>
  <conditionalFormatting sqref="AB176">
    <cfRule type="expression" dxfId="39" priority="117">
      <formula>AND(Z174&lt;&gt;"",AB176="")</formula>
    </cfRule>
  </conditionalFormatting>
  <conditionalFormatting sqref="AB200">
    <cfRule type="expression" dxfId="38" priority="40">
      <formula>AND(Z199&lt;&gt;"",AB200="")</formula>
    </cfRule>
  </conditionalFormatting>
  <conditionalFormatting sqref="AB201">
    <cfRule type="expression" dxfId="37" priority="39">
      <formula>AND(Z199&lt;&gt;"",AB201="")</formula>
    </cfRule>
  </conditionalFormatting>
  <conditionalFormatting sqref="AB215">
    <cfRule type="expression" dxfId="36" priority="25">
      <formula>AND(Z214&lt;&gt;"",AB215="")</formula>
    </cfRule>
  </conditionalFormatting>
  <conditionalFormatting sqref="AB216">
    <cfRule type="expression" dxfId="35" priority="24">
      <formula>AND(Z214&lt;&gt;"",AB216="")</formula>
    </cfRule>
  </conditionalFormatting>
  <conditionalFormatting sqref="AB230">
    <cfRule type="expression" dxfId="34" priority="10">
      <formula>AND(Z229&lt;&gt;"",AB230="")</formula>
    </cfRule>
  </conditionalFormatting>
  <conditionalFormatting sqref="AB231">
    <cfRule type="expression" dxfId="33" priority="9">
      <formula>AND(Z229&lt;&gt;"",AB231="")</formula>
    </cfRule>
  </conditionalFormatting>
  <conditionalFormatting sqref="AD175">
    <cfRule type="expression" dxfId="32" priority="116">
      <formula>AND(Z174&lt;&gt;"",AD175="")</formula>
    </cfRule>
  </conditionalFormatting>
  <conditionalFormatting sqref="AD176">
    <cfRule type="expression" dxfId="31" priority="115">
      <formula>AND(Z174&lt;&gt;"",AD176="")</formula>
    </cfRule>
  </conditionalFormatting>
  <conditionalFormatting sqref="AD200">
    <cfRule type="expression" dxfId="30" priority="38">
      <formula>AND(Z199&lt;&gt;"",AD200="")</formula>
    </cfRule>
  </conditionalFormatting>
  <conditionalFormatting sqref="AD201">
    <cfRule type="expression" dxfId="29" priority="37">
      <formula>AND(Z199&lt;&gt;"",AD201="")</formula>
    </cfRule>
  </conditionalFormatting>
  <conditionalFormatting sqref="AD215">
    <cfRule type="expression" dxfId="28" priority="23">
      <formula>AND(Z214&lt;&gt;"",AD215="")</formula>
    </cfRule>
  </conditionalFormatting>
  <conditionalFormatting sqref="AD216">
    <cfRule type="expression" dxfId="27" priority="22">
      <formula>AND(Z214&lt;&gt;"",AD216="")</formula>
    </cfRule>
  </conditionalFormatting>
  <conditionalFormatting sqref="AD230">
    <cfRule type="expression" dxfId="26" priority="8">
      <formula>AND(Z229&lt;&gt;"",AD230="")</formula>
    </cfRule>
  </conditionalFormatting>
  <conditionalFormatting sqref="AD231">
    <cfRule type="expression" dxfId="25" priority="7">
      <formula>AND(Z229&lt;&gt;"",AD231="")</formula>
    </cfRule>
  </conditionalFormatting>
  <conditionalFormatting sqref="AF175">
    <cfRule type="expression" dxfId="24" priority="114">
      <formula>AND(AF174&lt;&gt;"",AF175="")</formula>
    </cfRule>
  </conditionalFormatting>
  <conditionalFormatting sqref="AF176">
    <cfRule type="expression" dxfId="23" priority="113">
      <formula>AND(AF174&lt;&gt;"",AF176="")</formula>
    </cfRule>
  </conditionalFormatting>
  <conditionalFormatting sqref="AF200">
    <cfRule type="expression" dxfId="22" priority="36">
      <formula>AND(AF199&lt;&gt;"",AF200="")</formula>
    </cfRule>
  </conditionalFormatting>
  <conditionalFormatting sqref="AF201">
    <cfRule type="expression" dxfId="21" priority="35">
      <formula>AND(AF199&lt;&gt;"",AF201="")</formula>
    </cfRule>
  </conditionalFormatting>
  <conditionalFormatting sqref="AF215">
    <cfRule type="expression" dxfId="20" priority="21">
      <formula>AND(AF214&lt;&gt;"",AF215="")</formula>
    </cfRule>
  </conditionalFormatting>
  <conditionalFormatting sqref="AF216">
    <cfRule type="expression" dxfId="19" priority="20">
      <formula>AND(AF214&lt;&gt;"",AF216="")</formula>
    </cfRule>
  </conditionalFormatting>
  <conditionalFormatting sqref="AF230">
    <cfRule type="expression" dxfId="18" priority="6">
      <formula>AND(AF229&lt;&gt;"",AF230="")</formula>
    </cfRule>
  </conditionalFormatting>
  <conditionalFormatting sqref="AF231">
    <cfRule type="expression" dxfId="17" priority="5">
      <formula>AND(AF229&lt;&gt;"",AF231="")</formula>
    </cfRule>
  </conditionalFormatting>
  <conditionalFormatting sqref="AH175">
    <cfRule type="expression" dxfId="16" priority="112">
      <formula>AND(AF174&lt;&gt;"",AH175="")</formula>
    </cfRule>
  </conditionalFormatting>
  <conditionalFormatting sqref="AH176">
    <cfRule type="expression" dxfId="15" priority="111">
      <formula>AND(AF174&lt;&gt;"",AH176="")</formula>
    </cfRule>
  </conditionalFormatting>
  <conditionalFormatting sqref="AH200">
    <cfRule type="expression" dxfId="14" priority="34">
      <formula>AND(AF199&lt;&gt;"",AH200="")</formula>
    </cfRule>
  </conditionalFormatting>
  <conditionalFormatting sqref="AH201">
    <cfRule type="expression" dxfId="13" priority="33">
      <formula>AND(AF199&lt;&gt;"",AH201="")</formula>
    </cfRule>
  </conditionalFormatting>
  <conditionalFormatting sqref="AH215">
    <cfRule type="expression" dxfId="12" priority="19">
      <formula>AND(AF214&lt;&gt;"",AH215="")</formula>
    </cfRule>
  </conditionalFormatting>
  <conditionalFormatting sqref="AH216">
    <cfRule type="expression" dxfId="11" priority="18">
      <formula>AND(AF214&lt;&gt;"",AH216="")</formula>
    </cfRule>
  </conditionalFormatting>
  <conditionalFormatting sqref="AH230">
    <cfRule type="expression" dxfId="10" priority="4">
      <formula>AND(AF229&lt;&gt;"",AH230="")</formula>
    </cfRule>
  </conditionalFormatting>
  <conditionalFormatting sqref="AH231">
    <cfRule type="expression" dxfId="9" priority="3">
      <formula>AND(AF229&lt;&gt;"",AH231="")</formula>
    </cfRule>
  </conditionalFormatting>
  <conditionalFormatting sqref="AJ175">
    <cfRule type="expression" dxfId="8" priority="110">
      <formula>AND(AF174&lt;&gt;"",AJ175="")</formula>
    </cfRule>
  </conditionalFormatting>
  <conditionalFormatting sqref="AJ176">
    <cfRule type="expression" dxfId="7" priority="109">
      <formula>AND(AF174&lt;&gt;"",AJ176="")</formula>
    </cfRule>
  </conditionalFormatting>
  <conditionalFormatting sqref="AJ200">
    <cfRule type="expression" dxfId="6" priority="32">
      <formula>AND(AF199&lt;&gt;"",AJ200="")</formula>
    </cfRule>
  </conditionalFormatting>
  <conditionalFormatting sqref="AJ201">
    <cfRule type="expression" dxfId="5" priority="31">
      <formula>AND(AF199&lt;&gt;"",AJ201="")</formula>
    </cfRule>
  </conditionalFormatting>
  <conditionalFormatting sqref="AJ215">
    <cfRule type="expression" dxfId="4" priority="17">
      <formula>AND(AF214&lt;&gt;"",AJ215="")</formula>
    </cfRule>
  </conditionalFormatting>
  <conditionalFormatting sqref="AJ216">
    <cfRule type="expression" dxfId="3" priority="16">
      <formula>AND(AF214&lt;&gt;"",AJ216="")</formula>
    </cfRule>
  </conditionalFormatting>
  <conditionalFormatting sqref="AJ230">
    <cfRule type="expression" dxfId="2" priority="2">
      <formula>AND(AF229&lt;&gt;"",AJ230="")</formula>
    </cfRule>
  </conditionalFormatting>
  <conditionalFormatting sqref="AJ231">
    <cfRule type="expression" dxfId="1" priority="1">
      <formula>AND(AF229&lt;&gt;"",AJ231="")</formula>
    </cfRule>
  </conditionalFormatting>
  <dataValidations count="10">
    <dataValidation type="list" allowBlank="1" showInputMessage="1" showErrorMessage="1" sqref="H200:H201 N200:N201 T200:T201 Z200:Z201 AF200:AF201 H215:H216 N215:N216 T215:T216 Z215:Z216 AF215:AF216 H230:H231 N230:N231 T230:T231 Z230:Z231 AF230:AF231 H175:H176 N175:N176 T175:T176 Z175:Z176 AF175:AF176" xr:uid="{00000000-0002-0000-0000-000000000000}">
      <formula1>"2014,2015,2016,2017,2018,2019,2020,2021"</formula1>
    </dataValidation>
    <dataValidation type="list" allowBlank="1" showInputMessage="1" showErrorMessage="1" sqref="G87 G94 G101" xr:uid="{00000000-0002-0000-0000-000001000000}">
      <formula1>"有,無"</formula1>
    </dataValidation>
    <dataValidation type="list" allowBlank="1" showInputMessage="1" showErrorMessage="1" sqref="H183:AK183" xr:uid="{00000000-0002-0000-0000-000002000000}">
      <formula1>"1,2,3,4,5,6,7,8-イ,8-ロ,8-ハ,9"</formula1>
    </dataValidation>
    <dataValidation type="list" allowBlank="1" showInputMessage="1" showErrorMessage="1" sqref="G88:L88 G95:L95 G102:L102" xr:uid="{00000000-0002-0000-0000-000003000000}">
      <formula1>"①,②,③,④,⑤,⑥,⑦,⑧,⑨,⑩,⑪"</formula1>
    </dataValidation>
    <dataValidation type="list" allowBlank="1" showInputMessage="1" showErrorMessage="1" sqref="H182:AK182" xr:uid="{00000000-0002-0000-0000-000004000000}">
      <formula1>"地場産品,地場産品以外"</formula1>
    </dataValidation>
    <dataValidation type="list" allowBlank="1" showInputMessage="1" showErrorMessage="1" sqref="T111:Z121" xr:uid="{00000000-0002-0000-0000-000005000000}">
      <formula1>"1,2,3"</formula1>
    </dataValidation>
    <dataValidation type="list" allowBlank="1" showInputMessage="1" showErrorMessage="1" sqref="J175:J176 P175:P176 V175:V176 AB175:AB176 AH175:AH176 J200:J201 P200:P201 V200:V201 AB215:AB216 AH215:AH216 J215:J216 P215:P216 V215:V216 AB200:AB201 AH200:AH201 J230:J231 P230:P231 V230:V231 AB230:AB231 AH230:AH231" xr:uid="{00000000-0002-0000-0000-000006000000}">
      <formula1>"1,2,3,4,5,6,7,8,9,10,11,12"</formula1>
    </dataValidation>
    <dataValidation type="whole" operator="lessThan" allowBlank="1" showInputMessage="1" showErrorMessage="1" sqref="L175:L176 AD175:AD176 R175:R176 X175:X176 AJ175:AJ176 L200:L201 X230:X231 R200:R201 X200:X201 AD215:AD216 L215:L216 AD200:AD201 R215:R216 X215:X216 AJ200:AJ201 L230:L231 AJ215:AJ216 R230:R231 AD230:AD231 AJ230:AJ231" xr:uid="{00000000-0002-0000-0000-000007000000}">
      <formula1>32</formula1>
    </dataValidation>
    <dataValidation type="list" allowBlank="1" showInputMessage="1" showErrorMessage="1" sqref="C10:C11 C14:C16 C19:C20 C53:C54 C164:C165 C151:C152" xr:uid="{00000000-0002-0000-0000-000008000000}">
      <formula1>"①,②"</formula1>
    </dataValidation>
    <dataValidation type="list" allowBlank="1" showInputMessage="1" showErrorMessage="1" sqref="C79:C80 C125:C132 C139:C141 C58:C59 C64:C74" xr:uid="{00000000-0002-0000-0000-000009000000}">
      <formula1>"○"</formula1>
    </dataValidation>
  </dataValidations>
  <printOptions horizontalCentered="1"/>
  <pageMargins left="0.23622047244094491" right="0.23622047244094491" top="0.74803149606299213" bottom="0.74803149606299213" header="0.31496062992125984" footer="0.31496062992125984"/>
  <pageSetup paperSize="9" scale="42" fitToHeight="0" orientation="portrait" cellComments="asDisplayed" r:id="rId1"/>
  <headerFooter>
    <oddFooter>&amp;P / &amp;N ページ</oddFooter>
  </headerFooter>
  <rowBreaks count="6" manualBreakCount="6">
    <brk id="47" max="39" man="1"/>
    <brk id="105" max="16383" man="1"/>
    <brk id="158" max="16383" man="1"/>
    <brk id="187" max="39" man="1"/>
    <brk id="240" max="39" man="1"/>
    <brk id="241" max="3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60074-5DFD-473B-A915-C18BA129BDBB}">
  <dimension ref="A1:DF68"/>
  <sheetViews>
    <sheetView tabSelected="1" zoomScale="77" zoomScaleNormal="77" workbookViewId="0">
      <pane xSplit="3" ySplit="13" topLeftCell="D14" activePane="bottomRight" state="frozen"/>
      <selection activeCell="DY2" sqref="DY2:DY6"/>
      <selection pane="bottomLeft" activeCell="DY2" sqref="DY2:DY6"/>
      <selection pane="topRight" activeCell="DY2" sqref="DY2:DY6"/>
      <selection pane="bottomRight" activeCell="H22" sqref="H22"/>
    </sheetView>
  </sheetViews>
  <sheetFormatPr defaultColWidth="8.86328125" defaultRowHeight="15.75" x14ac:dyDescent="0.2"/>
  <cols>
    <col min="1" max="1" width="15.6796875" style="122" customWidth="1"/>
    <col min="2" max="17" width="15.6796875" style="117" customWidth="1"/>
    <col min="18" max="18" width="18.40625" style="117" customWidth="1"/>
    <col min="19" max="25" width="15.6796875" style="117" customWidth="1"/>
    <col min="26" max="26" width="22.08984375" style="117" customWidth="1"/>
    <col min="27" max="27" width="15.6796875" style="119" customWidth="1"/>
    <col min="28" max="28" width="22.90625" style="119" customWidth="1"/>
    <col min="29" max="29" width="20.453125" style="119" customWidth="1"/>
    <col min="30" max="30" width="23.04296875" style="135" customWidth="1"/>
    <col min="31" max="34" width="15.6796875" style="119" customWidth="1"/>
    <col min="35" max="36" width="15.6796875" style="117" customWidth="1"/>
    <col min="37" max="38" width="32.04296875" style="138" customWidth="1"/>
    <col min="39" max="40" width="15.6796875" style="119" customWidth="1"/>
    <col min="41" max="42" width="15.6796875" style="117" customWidth="1"/>
    <col min="43" max="43" width="26.99609375" style="138" customWidth="1"/>
    <col min="44" max="44" width="22.6328125" style="138" customWidth="1"/>
    <col min="45" max="46" width="15.6796875" style="119" customWidth="1"/>
    <col min="47" max="48" width="15.6796875" style="117" customWidth="1"/>
    <col min="49" max="49" width="24.953125" style="138" customWidth="1"/>
    <col min="50" max="50" width="22.90625" style="138" customWidth="1"/>
    <col min="51" max="52" width="15.6796875" style="119" customWidth="1"/>
    <col min="53" max="54" width="15.6796875" style="117" customWidth="1"/>
    <col min="55" max="55" width="15.6796875" style="119" customWidth="1"/>
    <col min="56" max="57" width="15.6796875" style="117" customWidth="1"/>
    <col min="58" max="58" width="15.6796875" style="119" customWidth="1"/>
    <col min="59" max="60" width="15.6796875" style="117" customWidth="1"/>
    <col min="61" max="61" width="15.6796875" style="119" customWidth="1"/>
    <col min="62" max="63" width="15.6796875" style="117" customWidth="1"/>
    <col min="64" max="64" width="15.6796875" style="119" customWidth="1"/>
    <col min="65" max="66" width="15.6796875" style="117" customWidth="1"/>
    <col min="67" max="67" width="15.6796875" style="119" customWidth="1"/>
    <col min="68" max="69" width="15.6796875" style="117" customWidth="1"/>
    <col min="70" max="70" width="15.6796875" style="119" customWidth="1"/>
    <col min="71" max="72" width="15.6796875" style="117" customWidth="1"/>
    <col min="73" max="73" width="15.6796875" style="119" customWidth="1"/>
    <col min="74" max="75" width="15.6796875" style="117" customWidth="1"/>
    <col min="76" max="76" width="15.6796875" style="119" customWidth="1"/>
    <col min="77" max="78" width="15.6796875" style="117" customWidth="1"/>
    <col min="79" max="79" width="15.6796875" style="119" customWidth="1"/>
    <col min="80" max="81" width="15.6796875" style="117" customWidth="1"/>
    <col min="82" max="82" width="15.6796875" style="119" customWidth="1"/>
    <col min="83" max="84" width="15.6796875" style="117" customWidth="1"/>
    <col min="85" max="85" width="15.6796875" style="119" customWidth="1"/>
    <col min="86" max="87" width="15.6796875" style="117" customWidth="1"/>
    <col min="88" max="88" width="15.6796875" style="119" customWidth="1"/>
    <col min="89" max="91" width="15.6796875" style="117" customWidth="1"/>
    <col min="92" max="92" width="28.49609375" style="142" customWidth="1"/>
    <col min="93" max="93" width="28.76953125" style="120" customWidth="1"/>
    <col min="94" max="95" width="15.6796875" style="120" customWidth="1"/>
    <col min="96" max="96" width="25.76953125" style="142" customWidth="1"/>
    <col min="97" max="97" width="42.6796875" style="142" customWidth="1"/>
    <col min="98" max="99" width="15.6796875" style="120" customWidth="1"/>
    <col min="100" max="100" width="39.1328125" style="142" customWidth="1"/>
    <col min="101" max="101" width="36.40625" style="142" customWidth="1"/>
    <col min="102" max="103" width="15.6796875" style="120" customWidth="1"/>
    <col min="104" max="106" width="15.6796875" style="119" customWidth="1"/>
    <col min="107" max="107" width="21.1328125" style="117" customWidth="1"/>
    <col min="108" max="108" width="15.6796875" style="119" customWidth="1"/>
    <col min="109" max="109" width="27.953125" style="138" customWidth="1"/>
    <col min="110" max="110" width="30.40625" style="117" customWidth="1"/>
    <col min="111" max="16384" width="8.86328125" style="117"/>
  </cols>
  <sheetData>
    <row r="1" spans="1:110" s="124" customFormat="1" ht="18" customHeight="1" x14ac:dyDescent="0.1">
      <c r="A1" s="123" t="s">
        <v>4140</v>
      </c>
      <c r="D1" s="125"/>
      <c r="E1" s="125"/>
      <c r="F1" s="125"/>
      <c r="G1" s="125"/>
      <c r="H1" s="125"/>
      <c r="I1" s="125"/>
      <c r="J1" s="125"/>
      <c r="K1" s="125"/>
      <c r="L1" s="126"/>
      <c r="M1" s="126"/>
      <c r="N1" s="126"/>
      <c r="O1" s="126"/>
      <c r="P1" s="126"/>
      <c r="Q1" s="126"/>
      <c r="R1" s="126"/>
      <c r="Z1" s="126"/>
      <c r="AA1" s="128"/>
      <c r="AB1" s="128"/>
      <c r="AC1" s="128"/>
      <c r="AD1" s="134"/>
      <c r="AE1" s="128"/>
      <c r="AF1" s="128"/>
      <c r="AG1" s="128"/>
      <c r="AH1" s="128"/>
      <c r="AI1" s="127"/>
      <c r="AK1" s="136"/>
      <c r="AL1" s="136"/>
      <c r="AM1" s="128"/>
      <c r="AN1" s="128"/>
      <c r="AO1" s="127"/>
      <c r="AQ1" s="136"/>
      <c r="AR1" s="136"/>
      <c r="AS1" s="128"/>
      <c r="AT1" s="128"/>
      <c r="AU1" s="127"/>
      <c r="AW1" s="136"/>
      <c r="AX1" s="136"/>
      <c r="AY1" s="128"/>
      <c r="AZ1" s="128"/>
      <c r="BC1" s="128"/>
      <c r="BF1" s="128"/>
      <c r="BI1" s="128"/>
      <c r="BL1" s="128"/>
      <c r="BM1" s="126"/>
      <c r="BO1" s="139"/>
      <c r="BP1" s="126"/>
      <c r="BQ1" s="129"/>
      <c r="BR1" s="128"/>
      <c r="BU1" s="128"/>
      <c r="BW1" s="126"/>
      <c r="BX1" s="128"/>
      <c r="BY1" s="126"/>
      <c r="BZ1" s="126"/>
      <c r="CA1" s="140"/>
      <c r="CD1" s="128"/>
      <c r="CG1" s="139"/>
      <c r="CI1" s="126"/>
      <c r="CJ1" s="139"/>
      <c r="CK1" s="129"/>
      <c r="CN1" s="136"/>
      <c r="CO1" s="133"/>
      <c r="CP1" s="128"/>
      <c r="CR1" s="136"/>
      <c r="CS1" s="136"/>
      <c r="CT1" s="128"/>
      <c r="CV1" s="136"/>
      <c r="CW1" s="136"/>
      <c r="CX1" s="128"/>
      <c r="CZ1" s="128"/>
      <c r="DA1" s="128"/>
      <c r="DB1" s="128"/>
      <c r="DD1" s="128"/>
      <c r="DE1" s="136"/>
    </row>
    <row r="2" spans="1:110" s="124" customFormat="1" ht="18" customHeight="1" x14ac:dyDescent="0.1">
      <c r="A2" s="123" t="s">
        <v>4141</v>
      </c>
      <c r="D2" s="125"/>
      <c r="E2" s="125"/>
      <c r="F2" s="125"/>
      <c r="G2" s="125"/>
      <c r="H2" s="125"/>
      <c r="I2" s="125"/>
      <c r="J2" s="125"/>
      <c r="K2" s="125"/>
      <c r="L2" s="126"/>
      <c r="M2" s="126"/>
      <c r="N2" s="126"/>
      <c r="O2" s="126"/>
      <c r="P2" s="126"/>
      <c r="Q2" s="126"/>
      <c r="R2" s="126"/>
      <c r="Z2" s="126"/>
      <c r="AA2" s="128"/>
      <c r="AB2" s="128"/>
      <c r="AC2" s="128"/>
      <c r="AD2" s="134"/>
      <c r="AE2" s="128"/>
      <c r="AF2" s="128"/>
      <c r="AG2" s="128"/>
      <c r="AH2" s="128"/>
      <c r="AI2" s="127"/>
      <c r="AK2" s="136"/>
      <c r="AL2" s="136"/>
      <c r="AM2" s="128"/>
      <c r="AN2" s="128"/>
      <c r="AO2" s="127"/>
      <c r="AQ2" s="136"/>
      <c r="AR2" s="136"/>
      <c r="AS2" s="128"/>
      <c r="AT2" s="128"/>
      <c r="AU2" s="127"/>
      <c r="AW2" s="136"/>
      <c r="AX2" s="136"/>
      <c r="AY2" s="128"/>
      <c r="AZ2" s="128"/>
      <c r="BC2" s="128"/>
      <c r="BF2" s="128"/>
      <c r="BI2" s="128"/>
      <c r="BL2" s="128"/>
      <c r="BM2" s="126"/>
      <c r="BO2" s="139"/>
      <c r="BP2" s="126"/>
      <c r="BQ2" s="129"/>
      <c r="BR2" s="128"/>
      <c r="BU2" s="128"/>
      <c r="BW2" s="126"/>
      <c r="BX2" s="128"/>
      <c r="BY2" s="126"/>
      <c r="BZ2" s="126"/>
      <c r="CA2" s="140"/>
      <c r="CD2" s="128"/>
      <c r="CG2" s="139"/>
      <c r="CI2" s="126"/>
      <c r="CJ2" s="139"/>
      <c r="CK2" s="129"/>
      <c r="CN2" s="136"/>
      <c r="CO2" s="133"/>
      <c r="CP2" s="128"/>
      <c r="CR2" s="136"/>
      <c r="CS2" s="136"/>
      <c r="CT2" s="128"/>
      <c r="CV2" s="136"/>
      <c r="CW2" s="136"/>
      <c r="CX2" s="128"/>
      <c r="CZ2" s="128"/>
      <c r="DA2" s="128"/>
      <c r="DB2" s="128"/>
      <c r="DD2" s="128"/>
      <c r="DE2" s="136"/>
    </row>
    <row r="3" spans="1:110" s="124" customFormat="1" ht="18" customHeight="1" x14ac:dyDescent="0.1">
      <c r="A3" s="123" t="s">
        <v>4150</v>
      </c>
      <c r="D3" s="125"/>
      <c r="E3" s="125"/>
      <c r="F3" s="125"/>
      <c r="G3" s="125"/>
      <c r="H3" s="125"/>
      <c r="I3" s="125"/>
      <c r="J3" s="125"/>
      <c r="K3" s="125"/>
      <c r="L3" s="126"/>
      <c r="M3" s="126"/>
      <c r="N3" s="126"/>
      <c r="O3" s="126"/>
      <c r="P3" s="126"/>
      <c r="Q3" s="126"/>
      <c r="R3" s="126"/>
      <c r="Z3" s="126"/>
      <c r="AA3" s="128"/>
      <c r="AB3" s="128"/>
      <c r="AC3" s="128"/>
      <c r="AD3" s="134"/>
      <c r="AE3" s="128"/>
      <c r="AF3" s="128"/>
      <c r="AG3" s="128"/>
      <c r="AH3" s="128"/>
      <c r="AI3" s="127"/>
      <c r="AK3" s="136"/>
      <c r="AL3" s="136"/>
      <c r="AM3" s="128"/>
      <c r="AN3" s="128"/>
      <c r="AO3" s="127"/>
      <c r="AQ3" s="136"/>
      <c r="AR3" s="136"/>
      <c r="AS3" s="128"/>
      <c r="AT3" s="128"/>
      <c r="AU3" s="127"/>
      <c r="AW3" s="136"/>
      <c r="AX3" s="136"/>
      <c r="AY3" s="128"/>
      <c r="AZ3" s="128"/>
      <c r="BC3" s="128"/>
      <c r="BF3" s="128"/>
      <c r="BI3" s="128"/>
      <c r="BL3" s="128"/>
      <c r="BM3" s="126"/>
      <c r="BO3" s="139"/>
      <c r="BP3" s="126"/>
      <c r="BQ3" s="129"/>
      <c r="BR3" s="128"/>
      <c r="BU3" s="128"/>
      <c r="BW3" s="126"/>
      <c r="BX3" s="128"/>
      <c r="BY3" s="126"/>
      <c r="BZ3" s="126"/>
      <c r="CA3" s="140"/>
      <c r="CD3" s="128"/>
      <c r="CG3" s="139"/>
      <c r="CI3" s="126"/>
      <c r="CJ3" s="139"/>
      <c r="CK3" s="129"/>
      <c r="CN3" s="136"/>
      <c r="CO3" s="133"/>
      <c r="CP3" s="128"/>
      <c r="CR3" s="136"/>
      <c r="CS3" s="136"/>
      <c r="CT3" s="128"/>
      <c r="CV3" s="136"/>
      <c r="CW3" s="136"/>
      <c r="CX3" s="128"/>
      <c r="CZ3" s="128"/>
      <c r="DA3" s="128"/>
      <c r="DB3" s="128"/>
      <c r="DD3" s="128"/>
      <c r="DE3" s="136"/>
    </row>
    <row r="4" spans="1:110" s="124" customFormat="1" ht="18" customHeight="1" x14ac:dyDescent="0.1">
      <c r="A4" s="123" t="s">
        <v>4151</v>
      </c>
      <c r="D4" s="125"/>
      <c r="E4" s="125"/>
      <c r="F4" s="125"/>
      <c r="G4" s="125"/>
      <c r="H4" s="125"/>
      <c r="I4" s="125"/>
      <c r="J4" s="125"/>
      <c r="K4" s="125"/>
      <c r="L4" s="126"/>
      <c r="M4" s="126"/>
      <c r="N4" s="126"/>
      <c r="O4" s="126"/>
      <c r="P4" s="126"/>
      <c r="Q4" s="126"/>
      <c r="R4" s="126"/>
      <c r="Z4" s="126"/>
      <c r="AA4" s="128"/>
      <c r="AB4" s="128"/>
      <c r="AC4" s="128"/>
      <c r="AD4" s="134"/>
      <c r="AE4" s="128"/>
      <c r="AF4" s="128"/>
      <c r="AG4" s="128"/>
      <c r="AH4" s="128"/>
      <c r="AI4" s="127"/>
      <c r="AK4" s="136"/>
      <c r="AL4" s="136"/>
      <c r="AM4" s="128"/>
      <c r="AN4" s="128"/>
      <c r="AO4" s="127"/>
      <c r="AQ4" s="136"/>
      <c r="AR4" s="136"/>
      <c r="AS4" s="128"/>
      <c r="AT4" s="128"/>
      <c r="AU4" s="127"/>
      <c r="AW4" s="136"/>
      <c r="AX4" s="136"/>
      <c r="AY4" s="128"/>
      <c r="AZ4" s="128"/>
      <c r="BC4" s="128"/>
      <c r="BF4" s="128"/>
      <c r="BI4" s="128"/>
      <c r="BL4" s="128"/>
      <c r="BM4" s="126"/>
      <c r="BO4" s="139"/>
      <c r="BP4" s="126"/>
      <c r="BQ4" s="129"/>
      <c r="BR4" s="128"/>
      <c r="BU4" s="128"/>
      <c r="BW4" s="126"/>
      <c r="BX4" s="128"/>
      <c r="BY4" s="126"/>
      <c r="BZ4" s="126"/>
      <c r="CA4" s="140"/>
      <c r="CD4" s="128"/>
      <c r="CG4" s="139"/>
      <c r="CI4" s="126"/>
      <c r="CJ4" s="139"/>
      <c r="CK4" s="129"/>
      <c r="CN4" s="136"/>
      <c r="CO4" s="133"/>
      <c r="CP4" s="128"/>
      <c r="CR4" s="136"/>
      <c r="CS4" s="136"/>
      <c r="CT4" s="128"/>
      <c r="CV4" s="136"/>
      <c r="CW4" s="136"/>
      <c r="CX4" s="128"/>
      <c r="CZ4" s="128"/>
      <c r="DA4" s="128"/>
      <c r="DB4" s="128"/>
      <c r="DD4" s="128"/>
      <c r="DE4" s="136"/>
    </row>
    <row r="5" spans="1:110" s="124" customFormat="1" ht="18" customHeight="1" x14ac:dyDescent="0.1">
      <c r="A5" s="123" t="s">
        <v>4142</v>
      </c>
      <c r="D5" s="125"/>
      <c r="E5" s="125"/>
      <c r="F5" s="125"/>
      <c r="G5" s="125"/>
      <c r="H5" s="125"/>
      <c r="I5" s="125"/>
      <c r="J5" s="125"/>
      <c r="K5" s="125"/>
      <c r="L5" s="126"/>
      <c r="M5" s="126"/>
      <c r="N5" s="126"/>
      <c r="O5" s="126"/>
      <c r="P5" s="126"/>
      <c r="Q5" s="126"/>
      <c r="R5" s="126"/>
      <c r="Z5" s="126"/>
      <c r="AA5" s="128"/>
      <c r="AB5" s="128"/>
      <c r="AC5" s="128"/>
      <c r="AD5" s="134"/>
      <c r="AE5" s="128"/>
      <c r="AF5" s="128"/>
      <c r="AG5" s="128"/>
      <c r="AH5" s="128"/>
      <c r="AI5" s="127"/>
      <c r="AK5" s="136"/>
      <c r="AL5" s="136"/>
      <c r="AM5" s="128"/>
      <c r="AN5" s="128"/>
      <c r="AO5" s="127"/>
      <c r="AQ5" s="136"/>
      <c r="AR5" s="136"/>
      <c r="AS5" s="128"/>
      <c r="AT5" s="128"/>
      <c r="AU5" s="127"/>
      <c r="AW5" s="136"/>
      <c r="AX5" s="136"/>
      <c r="AY5" s="128"/>
      <c r="AZ5" s="128"/>
      <c r="BC5" s="128"/>
      <c r="BF5" s="128"/>
      <c r="BI5" s="128"/>
      <c r="BL5" s="128"/>
      <c r="BM5" s="126"/>
      <c r="BO5" s="139"/>
      <c r="BP5" s="126"/>
      <c r="BQ5" s="129"/>
      <c r="BR5" s="128"/>
      <c r="BU5" s="128"/>
      <c r="BW5" s="126"/>
      <c r="BX5" s="128"/>
      <c r="BY5" s="126"/>
      <c r="BZ5" s="126"/>
      <c r="CA5" s="140"/>
      <c r="CD5" s="128"/>
      <c r="CG5" s="139"/>
      <c r="CI5" s="126"/>
      <c r="CJ5" s="139"/>
      <c r="CK5" s="129"/>
      <c r="CN5" s="136"/>
      <c r="CO5" s="133"/>
      <c r="CP5" s="128"/>
      <c r="CR5" s="136"/>
      <c r="CS5" s="136"/>
      <c r="CT5" s="128"/>
      <c r="CV5" s="136"/>
      <c r="CW5" s="136"/>
      <c r="CX5" s="128"/>
      <c r="CZ5" s="128"/>
      <c r="DA5" s="128"/>
      <c r="DB5" s="128"/>
      <c r="DD5" s="128"/>
      <c r="DE5" s="136"/>
    </row>
    <row r="6" spans="1:110" s="124" customFormat="1" ht="18" customHeight="1" x14ac:dyDescent="0.1">
      <c r="A6" s="123" t="s">
        <v>4143</v>
      </c>
      <c r="D6" s="125"/>
      <c r="E6" s="125"/>
      <c r="F6" s="125"/>
      <c r="G6" s="125"/>
      <c r="H6" s="125"/>
      <c r="I6" s="125"/>
      <c r="J6" s="125"/>
      <c r="K6" s="125"/>
      <c r="L6" s="126"/>
      <c r="M6" s="126"/>
      <c r="N6" s="126"/>
      <c r="O6" s="126"/>
      <c r="P6" s="126"/>
      <c r="Q6" s="126"/>
      <c r="R6" s="126"/>
      <c r="Z6" s="126"/>
      <c r="AA6" s="128"/>
      <c r="AB6" s="128"/>
      <c r="AC6" s="128"/>
      <c r="AD6" s="134"/>
      <c r="AE6" s="128"/>
      <c r="AF6" s="128"/>
      <c r="AG6" s="128"/>
      <c r="AH6" s="128"/>
      <c r="AI6" s="127"/>
      <c r="AK6" s="136"/>
      <c r="AL6" s="136"/>
      <c r="AM6" s="128"/>
      <c r="AN6" s="128"/>
      <c r="AO6" s="127"/>
      <c r="AQ6" s="136"/>
      <c r="AR6" s="136"/>
      <c r="AS6" s="128"/>
      <c r="AT6" s="128"/>
      <c r="AU6" s="127"/>
      <c r="AW6" s="136"/>
      <c r="AX6" s="136"/>
      <c r="AY6" s="128"/>
      <c r="AZ6" s="128"/>
      <c r="BC6" s="128"/>
      <c r="BF6" s="128"/>
      <c r="BI6" s="128"/>
      <c r="BL6" s="128"/>
      <c r="BM6" s="126"/>
      <c r="BO6" s="139"/>
      <c r="BP6" s="126"/>
      <c r="BQ6" s="129"/>
      <c r="BR6" s="128"/>
      <c r="BU6" s="128"/>
      <c r="BW6" s="126"/>
      <c r="BX6" s="128"/>
      <c r="BY6" s="126"/>
      <c r="BZ6" s="126"/>
      <c r="CA6" s="140"/>
      <c r="CD6" s="128"/>
      <c r="CG6" s="139"/>
      <c r="CI6" s="126"/>
      <c r="CJ6" s="139"/>
      <c r="CK6" s="129"/>
      <c r="CN6" s="136"/>
      <c r="CO6" s="133"/>
      <c r="CP6" s="128"/>
      <c r="CR6" s="136"/>
      <c r="CS6" s="136"/>
      <c r="CT6" s="128"/>
      <c r="CV6" s="136"/>
      <c r="CW6" s="136"/>
      <c r="CX6" s="128"/>
      <c r="CZ6" s="128"/>
      <c r="DA6" s="128"/>
      <c r="DB6" s="128"/>
      <c r="DD6" s="128"/>
      <c r="DE6" s="136"/>
    </row>
    <row r="7" spans="1:110" s="124" customFormat="1" ht="18" customHeight="1" x14ac:dyDescent="0.1">
      <c r="A7" s="123"/>
      <c r="D7" s="125"/>
      <c r="E7" s="125"/>
      <c r="F7" s="125"/>
      <c r="G7" s="125"/>
      <c r="H7" s="125"/>
      <c r="I7" s="125"/>
      <c r="J7" s="125"/>
      <c r="K7" s="125"/>
      <c r="L7" s="126"/>
      <c r="M7" s="126"/>
      <c r="N7" s="126"/>
      <c r="O7" s="126"/>
      <c r="P7" s="126"/>
      <c r="Q7" s="126"/>
      <c r="R7" s="126"/>
      <c r="Z7" s="126"/>
      <c r="AA7" s="128"/>
      <c r="AB7" s="128"/>
      <c r="AC7" s="128"/>
      <c r="AD7" s="134"/>
      <c r="AE7" s="128"/>
      <c r="AF7" s="128"/>
      <c r="AG7" s="128"/>
      <c r="AH7" s="128"/>
      <c r="AI7" s="127"/>
      <c r="AK7" s="136"/>
      <c r="AL7" s="136"/>
      <c r="AM7" s="128"/>
      <c r="AN7" s="128"/>
      <c r="AO7" s="127"/>
      <c r="AQ7" s="136"/>
      <c r="AR7" s="136"/>
      <c r="AS7" s="128"/>
      <c r="AT7" s="128"/>
      <c r="AU7" s="127"/>
      <c r="AW7" s="136"/>
      <c r="AX7" s="136"/>
      <c r="AY7" s="128"/>
      <c r="AZ7" s="128"/>
      <c r="BC7" s="128"/>
      <c r="BF7" s="128"/>
      <c r="BI7" s="128"/>
      <c r="BL7" s="128"/>
      <c r="BM7" s="126"/>
      <c r="BO7" s="139"/>
      <c r="BP7" s="126"/>
      <c r="BQ7" s="129"/>
      <c r="BR7" s="128"/>
      <c r="BU7" s="128"/>
      <c r="BW7" s="126"/>
      <c r="BX7" s="128"/>
      <c r="BY7" s="126"/>
      <c r="BZ7" s="126"/>
      <c r="CA7" s="140"/>
      <c r="CD7" s="128"/>
      <c r="CG7" s="139"/>
      <c r="CI7" s="126"/>
      <c r="CJ7" s="139"/>
      <c r="CK7" s="129"/>
      <c r="CN7" s="136"/>
      <c r="CO7" s="133"/>
      <c r="CP7" s="128"/>
      <c r="CR7" s="136"/>
      <c r="CS7" s="136"/>
      <c r="CT7" s="128"/>
      <c r="CV7" s="136"/>
      <c r="CW7" s="136"/>
      <c r="CX7" s="128"/>
      <c r="CZ7" s="128"/>
      <c r="DA7" s="128"/>
      <c r="DB7" s="128"/>
      <c r="DD7" s="128"/>
      <c r="DE7" s="136"/>
    </row>
    <row r="8" spans="1:110" ht="33.6" customHeight="1" x14ac:dyDescent="0.2">
      <c r="A8" s="387" t="s">
        <v>75</v>
      </c>
      <c r="B8" s="389" t="s">
        <v>76</v>
      </c>
      <c r="C8" s="389" t="s">
        <v>77</v>
      </c>
      <c r="D8" s="385" t="s">
        <v>3729</v>
      </c>
      <c r="E8" s="369"/>
      <c r="F8" s="369"/>
      <c r="G8" s="369"/>
      <c r="H8" s="369"/>
      <c r="I8" s="369"/>
      <c r="J8" s="369"/>
      <c r="K8" s="386"/>
      <c r="L8" s="385" t="s">
        <v>3730</v>
      </c>
      <c r="M8" s="369"/>
      <c r="N8" s="369"/>
      <c r="O8" s="369"/>
      <c r="P8" s="369"/>
      <c r="Q8" s="369"/>
      <c r="R8" s="369"/>
      <c r="S8" s="369"/>
      <c r="T8" s="369"/>
      <c r="U8" s="369"/>
      <c r="V8" s="369"/>
      <c r="W8" s="369"/>
      <c r="X8" s="369"/>
      <c r="Y8" s="369"/>
      <c r="Z8" s="386"/>
      <c r="AA8" s="371" t="s">
        <v>4144</v>
      </c>
      <c r="AB8" s="373"/>
      <c r="AC8" s="367" t="s">
        <v>4147</v>
      </c>
      <c r="AD8" s="368"/>
      <c r="AE8" s="368"/>
      <c r="AF8" s="368"/>
      <c r="AG8" s="368"/>
      <c r="AH8" s="368"/>
      <c r="AI8" s="368"/>
      <c r="AJ8" s="368"/>
      <c r="AK8" s="368"/>
      <c r="AL8" s="368"/>
      <c r="AM8" s="368"/>
      <c r="AN8" s="368"/>
      <c r="AO8" s="368"/>
      <c r="AP8" s="368"/>
      <c r="AQ8" s="368"/>
      <c r="AR8" s="368"/>
      <c r="AS8" s="368"/>
      <c r="AT8" s="368"/>
      <c r="AU8" s="368"/>
      <c r="AV8" s="368"/>
      <c r="AW8" s="368"/>
      <c r="AX8" s="368"/>
      <c r="AY8" s="368"/>
      <c r="AZ8" s="368"/>
      <c r="BA8" s="368"/>
      <c r="BB8" s="368"/>
      <c r="BC8" s="368"/>
      <c r="BD8" s="368"/>
      <c r="BE8" s="368"/>
      <c r="BF8" s="368"/>
      <c r="BG8" s="368"/>
      <c r="BH8" s="368"/>
      <c r="BI8" s="368"/>
      <c r="BJ8" s="368"/>
      <c r="BK8" s="368"/>
      <c r="BL8" s="368"/>
      <c r="BM8" s="368"/>
      <c r="BN8" s="368"/>
      <c r="BO8" s="368"/>
      <c r="BP8" s="368"/>
      <c r="BQ8" s="368"/>
      <c r="BR8" s="368"/>
      <c r="BS8" s="368"/>
      <c r="BT8" s="368"/>
      <c r="BU8" s="368"/>
      <c r="BV8" s="368"/>
      <c r="BW8" s="368"/>
      <c r="BX8" s="368"/>
      <c r="BY8" s="368"/>
      <c r="BZ8" s="368"/>
      <c r="CA8" s="368"/>
      <c r="CB8" s="368"/>
      <c r="CC8" s="368"/>
      <c r="CD8" s="368"/>
      <c r="CE8" s="368"/>
      <c r="CF8" s="368"/>
      <c r="CG8" s="369"/>
      <c r="CH8" s="368"/>
      <c r="CI8" s="368"/>
      <c r="CJ8" s="369"/>
      <c r="CK8" s="368"/>
      <c r="CL8" s="368"/>
      <c r="CM8" s="368"/>
      <c r="CN8" s="368"/>
      <c r="CO8" s="368"/>
      <c r="CP8" s="368"/>
      <c r="CQ8" s="368"/>
      <c r="CR8" s="368"/>
      <c r="CS8" s="368"/>
      <c r="CT8" s="368"/>
      <c r="CU8" s="368"/>
      <c r="CV8" s="368"/>
      <c r="CW8" s="368"/>
      <c r="CX8" s="368"/>
      <c r="CY8" s="370"/>
      <c r="CZ8" s="367" t="s">
        <v>4148</v>
      </c>
      <c r="DA8" s="368"/>
      <c r="DB8" s="368"/>
      <c r="DC8" s="368"/>
      <c r="DD8" s="368"/>
      <c r="DE8" s="370"/>
      <c r="DF8" s="143" t="s">
        <v>4149</v>
      </c>
    </row>
    <row r="9" spans="1:110" ht="13.35" customHeight="1" x14ac:dyDescent="0.2">
      <c r="A9" s="388"/>
      <c r="B9" s="389"/>
      <c r="C9" s="389"/>
      <c r="D9" s="358" t="s">
        <v>3731</v>
      </c>
      <c r="E9" s="359"/>
      <c r="F9" s="359"/>
      <c r="G9" s="359"/>
      <c r="H9" s="359"/>
      <c r="I9" s="359"/>
      <c r="J9" s="359"/>
      <c r="K9" s="359"/>
      <c r="L9" s="358" t="s">
        <v>3732</v>
      </c>
      <c r="M9" s="359"/>
      <c r="N9" s="359"/>
      <c r="O9" s="359"/>
      <c r="P9" s="359"/>
      <c r="Q9" s="359"/>
      <c r="R9" s="360"/>
      <c r="S9" s="358" t="s">
        <v>3733</v>
      </c>
      <c r="T9" s="359"/>
      <c r="U9" s="359"/>
      <c r="V9" s="359"/>
      <c r="W9" s="359"/>
      <c r="X9" s="359"/>
      <c r="Y9" s="360"/>
      <c r="Z9" s="390" t="s">
        <v>3717</v>
      </c>
      <c r="AA9" s="374" t="s">
        <v>4153</v>
      </c>
      <c r="AB9" s="374" t="s">
        <v>3721</v>
      </c>
      <c r="AC9" s="374" t="s">
        <v>4146</v>
      </c>
      <c r="AD9" s="374" t="s">
        <v>3734</v>
      </c>
      <c r="AE9" s="358" t="s">
        <v>3718</v>
      </c>
      <c r="AF9" s="360"/>
      <c r="AG9" s="358" t="s">
        <v>3735</v>
      </c>
      <c r="AH9" s="359"/>
      <c r="AI9" s="359"/>
      <c r="AJ9" s="360"/>
      <c r="AK9" s="358" t="s">
        <v>3754</v>
      </c>
      <c r="AL9" s="359"/>
      <c r="AM9" s="359"/>
      <c r="AN9" s="359"/>
      <c r="AO9" s="359"/>
      <c r="AP9" s="360"/>
      <c r="AQ9" s="358" t="s">
        <v>3736</v>
      </c>
      <c r="AR9" s="359"/>
      <c r="AS9" s="359"/>
      <c r="AT9" s="359"/>
      <c r="AU9" s="359"/>
      <c r="AV9" s="360"/>
      <c r="AW9" s="358" t="s">
        <v>3737</v>
      </c>
      <c r="AX9" s="359"/>
      <c r="AY9" s="359"/>
      <c r="AZ9" s="359"/>
      <c r="BA9" s="359"/>
      <c r="BB9" s="360"/>
      <c r="BC9" s="358" t="s">
        <v>3738</v>
      </c>
      <c r="BD9" s="359"/>
      <c r="BE9" s="359"/>
      <c r="BF9" s="359"/>
      <c r="BG9" s="359"/>
      <c r="BH9" s="359"/>
      <c r="BI9" s="359"/>
      <c r="BJ9" s="359"/>
      <c r="BK9" s="359"/>
      <c r="BL9" s="359"/>
      <c r="BM9" s="359"/>
      <c r="BN9" s="359"/>
      <c r="BO9" s="359"/>
      <c r="BP9" s="359"/>
      <c r="BQ9" s="359"/>
      <c r="BR9" s="359"/>
      <c r="BS9" s="359"/>
      <c r="BT9" s="359"/>
      <c r="BU9" s="359"/>
      <c r="BV9" s="359"/>
      <c r="BW9" s="359"/>
      <c r="BX9" s="359"/>
      <c r="BY9" s="359"/>
      <c r="BZ9" s="359"/>
      <c r="CA9" s="359"/>
      <c r="CB9" s="359"/>
      <c r="CC9" s="359"/>
      <c r="CD9" s="359"/>
      <c r="CE9" s="359"/>
      <c r="CF9" s="359"/>
      <c r="CG9" s="359"/>
      <c r="CH9" s="359"/>
      <c r="CI9" s="359"/>
      <c r="CJ9" s="359"/>
      <c r="CK9" s="359"/>
      <c r="CL9" s="359"/>
      <c r="CM9" s="360"/>
      <c r="CN9" s="358" t="s">
        <v>3739</v>
      </c>
      <c r="CO9" s="359"/>
      <c r="CP9" s="359"/>
      <c r="CQ9" s="360"/>
      <c r="CR9" s="358" t="s">
        <v>3740</v>
      </c>
      <c r="CS9" s="359"/>
      <c r="CT9" s="359"/>
      <c r="CU9" s="360"/>
      <c r="CV9" s="358" t="s">
        <v>3741</v>
      </c>
      <c r="CW9" s="359"/>
      <c r="CX9" s="359"/>
      <c r="CY9" s="360"/>
      <c r="CZ9" s="358" t="s">
        <v>3728</v>
      </c>
      <c r="DA9" s="359"/>
      <c r="DB9" s="360"/>
      <c r="DC9" s="382" t="s">
        <v>3742</v>
      </c>
      <c r="DD9" s="374" t="s">
        <v>3726</v>
      </c>
      <c r="DE9" s="382" t="s">
        <v>3743</v>
      </c>
      <c r="DF9" s="374" t="s">
        <v>4145</v>
      </c>
    </row>
    <row r="10" spans="1:110" ht="13.35" customHeight="1" x14ac:dyDescent="0.2">
      <c r="A10" s="388"/>
      <c r="B10" s="389"/>
      <c r="C10" s="389"/>
      <c r="D10" s="361"/>
      <c r="E10" s="362"/>
      <c r="F10" s="362"/>
      <c r="G10" s="362"/>
      <c r="H10" s="362"/>
      <c r="I10" s="362"/>
      <c r="J10" s="362"/>
      <c r="K10" s="362"/>
      <c r="L10" s="361"/>
      <c r="M10" s="362"/>
      <c r="N10" s="362"/>
      <c r="O10" s="362"/>
      <c r="P10" s="362"/>
      <c r="Q10" s="362"/>
      <c r="R10" s="363"/>
      <c r="S10" s="361"/>
      <c r="T10" s="362"/>
      <c r="U10" s="362"/>
      <c r="V10" s="362"/>
      <c r="W10" s="362"/>
      <c r="X10" s="362"/>
      <c r="Y10" s="363"/>
      <c r="Z10" s="390"/>
      <c r="AA10" s="375"/>
      <c r="AB10" s="375"/>
      <c r="AC10" s="375"/>
      <c r="AD10" s="375"/>
      <c r="AE10" s="361"/>
      <c r="AF10" s="363"/>
      <c r="AG10" s="361"/>
      <c r="AH10" s="362"/>
      <c r="AI10" s="362"/>
      <c r="AJ10" s="363"/>
      <c r="AK10" s="361"/>
      <c r="AL10" s="362"/>
      <c r="AM10" s="362"/>
      <c r="AN10" s="362"/>
      <c r="AO10" s="362"/>
      <c r="AP10" s="363"/>
      <c r="AQ10" s="361"/>
      <c r="AR10" s="362"/>
      <c r="AS10" s="362"/>
      <c r="AT10" s="362"/>
      <c r="AU10" s="362"/>
      <c r="AV10" s="363"/>
      <c r="AW10" s="361"/>
      <c r="AX10" s="362"/>
      <c r="AY10" s="362"/>
      <c r="AZ10" s="362"/>
      <c r="BA10" s="362"/>
      <c r="BB10" s="363"/>
      <c r="BC10" s="361"/>
      <c r="BD10" s="362"/>
      <c r="BE10" s="362"/>
      <c r="BF10" s="362"/>
      <c r="BG10" s="362"/>
      <c r="BH10" s="362"/>
      <c r="BI10" s="362"/>
      <c r="BJ10" s="362"/>
      <c r="BK10" s="362"/>
      <c r="BL10" s="362"/>
      <c r="BM10" s="362"/>
      <c r="BN10" s="362"/>
      <c r="BO10" s="362"/>
      <c r="BP10" s="362"/>
      <c r="BQ10" s="362"/>
      <c r="BR10" s="362"/>
      <c r="BS10" s="362"/>
      <c r="BT10" s="362"/>
      <c r="BU10" s="362"/>
      <c r="BV10" s="362"/>
      <c r="BW10" s="362"/>
      <c r="BX10" s="362"/>
      <c r="BY10" s="362"/>
      <c r="BZ10" s="362"/>
      <c r="CA10" s="362"/>
      <c r="CB10" s="362"/>
      <c r="CC10" s="362"/>
      <c r="CD10" s="362"/>
      <c r="CE10" s="362"/>
      <c r="CF10" s="362"/>
      <c r="CG10" s="362"/>
      <c r="CH10" s="362"/>
      <c r="CI10" s="362"/>
      <c r="CJ10" s="362"/>
      <c r="CK10" s="362"/>
      <c r="CL10" s="362"/>
      <c r="CM10" s="363"/>
      <c r="CN10" s="361"/>
      <c r="CO10" s="362"/>
      <c r="CP10" s="362"/>
      <c r="CQ10" s="363"/>
      <c r="CR10" s="361"/>
      <c r="CS10" s="362"/>
      <c r="CT10" s="362"/>
      <c r="CU10" s="363"/>
      <c r="CV10" s="361"/>
      <c r="CW10" s="362"/>
      <c r="CX10" s="362"/>
      <c r="CY10" s="363"/>
      <c r="CZ10" s="361"/>
      <c r="DA10" s="362"/>
      <c r="DB10" s="363"/>
      <c r="DC10" s="383"/>
      <c r="DD10" s="375"/>
      <c r="DE10" s="383"/>
      <c r="DF10" s="375"/>
    </row>
    <row r="11" spans="1:110" ht="43.7" customHeight="1" x14ac:dyDescent="0.2">
      <c r="A11" s="388"/>
      <c r="B11" s="389"/>
      <c r="C11" s="389"/>
      <c r="D11" s="364"/>
      <c r="E11" s="365"/>
      <c r="F11" s="365"/>
      <c r="G11" s="365"/>
      <c r="H11" s="365"/>
      <c r="I11" s="365"/>
      <c r="J11" s="365"/>
      <c r="K11" s="365"/>
      <c r="L11" s="364"/>
      <c r="M11" s="365"/>
      <c r="N11" s="365"/>
      <c r="O11" s="365"/>
      <c r="P11" s="365"/>
      <c r="Q11" s="365"/>
      <c r="R11" s="366"/>
      <c r="S11" s="364"/>
      <c r="T11" s="365"/>
      <c r="U11" s="365"/>
      <c r="V11" s="365"/>
      <c r="W11" s="365"/>
      <c r="X11" s="365"/>
      <c r="Y11" s="366"/>
      <c r="Z11" s="390"/>
      <c r="AA11" s="375"/>
      <c r="AB11" s="375"/>
      <c r="AC11" s="375"/>
      <c r="AD11" s="375"/>
      <c r="AE11" s="361"/>
      <c r="AF11" s="363"/>
      <c r="AG11" s="361"/>
      <c r="AH11" s="362"/>
      <c r="AI11" s="362"/>
      <c r="AJ11" s="363"/>
      <c r="AK11" s="361"/>
      <c r="AL11" s="362"/>
      <c r="AM11" s="362"/>
      <c r="AN11" s="362"/>
      <c r="AO11" s="362"/>
      <c r="AP11" s="363"/>
      <c r="AQ11" s="361"/>
      <c r="AR11" s="362"/>
      <c r="AS11" s="362"/>
      <c r="AT11" s="362"/>
      <c r="AU11" s="362"/>
      <c r="AV11" s="363"/>
      <c r="AW11" s="361"/>
      <c r="AX11" s="362"/>
      <c r="AY11" s="362"/>
      <c r="AZ11" s="362"/>
      <c r="BA11" s="362"/>
      <c r="BB11" s="363"/>
      <c r="BC11" s="361"/>
      <c r="BD11" s="362"/>
      <c r="BE11" s="362"/>
      <c r="BF11" s="362"/>
      <c r="BG11" s="362"/>
      <c r="BH11" s="362"/>
      <c r="BI11" s="362"/>
      <c r="BJ11" s="362"/>
      <c r="BK11" s="362"/>
      <c r="BL11" s="362"/>
      <c r="BM11" s="362"/>
      <c r="BN11" s="362"/>
      <c r="BO11" s="362"/>
      <c r="BP11" s="362"/>
      <c r="BQ11" s="362"/>
      <c r="BR11" s="362"/>
      <c r="BS11" s="362"/>
      <c r="BT11" s="362"/>
      <c r="BU11" s="362"/>
      <c r="BV11" s="362"/>
      <c r="BW11" s="362"/>
      <c r="BX11" s="362"/>
      <c r="BY11" s="362"/>
      <c r="BZ11" s="362"/>
      <c r="CA11" s="362"/>
      <c r="CB11" s="362"/>
      <c r="CC11" s="362"/>
      <c r="CD11" s="362"/>
      <c r="CE11" s="362"/>
      <c r="CF11" s="362"/>
      <c r="CG11" s="362"/>
      <c r="CH11" s="362"/>
      <c r="CI11" s="362"/>
      <c r="CJ11" s="362"/>
      <c r="CK11" s="362"/>
      <c r="CL11" s="362"/>
      <c r="CM11" s="363"/>
      <c r="CN11" s="361"/>
      <c r="CO11" s="362"/>
      <c r="CP11" s="362"/>
      <c r="CQ11" s="363"/>
      <c r="CR11" s="361"/>
      <c r="CS11" s="362"/>
      <c r="CT11" s="362"/>
      <c r="CU11" s="363"/>
      <c r="CV11" s="361"/>
      <c r="CW11" s="362"/>
      <c r="CX11" s="362"/>
      <c r="CY11" s="363"/>
      <c r="CZ11" s="361"/>
      <c r="DA11" s="362"/>
      <c r="DB11" s="363"/>
      <c r="DC11" s="383"/>
      <c r="DD11" s="375"/>
      <c r="DE11" s="383"/>
      <c r="DF11" s="375"/>
    </row>
    <row r="12" spans="1:110" ht="54" customHeight="1" x14ac:dyDescent="0.2">
      <c r="A12" s="388"/>
      <c r="B12" s="389"/>
      <c r="C12" s="389"/>
      <c r="D12" s="380" t="s">
        <v>3753</v>
      </c>
      <c r="E12" s="381"/>
      <c r="F12" s="380" t="s">
        <v>78</v>
      </c>
      <c r="G12" s="381"/>
      <c r="H12" s="380" t="s">
        <v>3656</v>
      </c>
      <c r="I12" s="381"/>
      <c r="J12" s="371" t="s">
        <v>79</v>
      </c>
      <c r="K12" s="372"/>
      <c r="L12" s="377" t="s">
        <v>3661</v>
      </c>
      <c r="M12" s="377" t="s">
        <v>3662</v>
      </c>
      <c r="N12" s="377" t="s">
        <v>80</v>
      </c>
      <c r="O12" s="378" t="s">
        <v>81</v>
      </c>
      <c r="P12" s="377" t="s">
        <v>15</v>
      </c>
      <c r="Q12" s="377" t="s">
        <v>82</v>
      </c>
      <c r="R12" s="377" t="s">
        <v>83</v>
      </c>
      <c r="S12" s="377" t="s">
        <v>3744</v>
      </c>
      <c r="T12" s="377" t="s">
        <v>3745</v>
      </c>
      <c r="U12" s="377" t="s">
        <v>3746</v>
      </c>
      <c r="V12" s="377" t="s">
        <v>3747</v>
      </c>
      <c r="W12" s="377" t="s">
        <v>3748</v>
      </c>
      <c r="X12" s="377" t="s">
        <v>82</v>
      </c>
      <c r="Y12" s="377" t="s">
        <v>83</v>
      </c>
      <c r="Z12" s="390"/>
      <c r="AA12" s="375"/>
      <c r="AB12" s="375"/>
      <c r="AC12" s="375"/>
      <c r="AD12" s="375"/>
      <c r="AE12" s="364"/>
      <c r="AF12" s="366"/>
      <c r="AG12" s="364"/>
      <c r="AH12" s="365"/>
      <c r="AI12" s="365"/>
      <c r="AJ12" s="366"/>
      <c r="AK12" s="364"/>
      <c r="AL12" s="365"/>
      <c r="AM12" s="365"/>
      <c r="AN12" s="365"/>
      <c r="AO12" s="365"/>
      <c r="AP12" s="366"/>
      <c r="AQ12" s="364"/>
      <c r="AR12" s="365"/>
      <c r="AS12" s="365"/>
      <c r="AT12" s="365"/>
      <c r="AU12" s="365"/>
      <c r="AV12" s="366"/>
      <c r="AW12" s="364"/>
      <c r="AX12" s="365"/>
      <c r="AY12" s="365"/>
      <c r="AZ12" s="365"/>
      <c r="BA12" s="365"/>
      <c r="BB12" s="366"/>
      <c r="BC12" s="364"/>
      <c r="BD12" s="365"/>
      <c r="BE12" s="365"/>
      <c r="BF12" s="365"/>
      <c r="BG12" s="365"/>
      <c r="BH12" s="365"/>
      <c r="BI12" s="365"/>
      <c r="BJ12" s="365"/>
      <c r="BK12" s="365"/>
      <c r="BL12" s="365"/>
      <c r="BM12" s="365"/>
      <c r="BN12" s="365"/>
      <c r="BO12" s="365"/>
      <c r="BP12" s="365"/>
      <c r="BQ12" s="365"/>
      <c r="BR12" s="365"/>
      <c r="BS12" s="365"/>
      <c r="BT12" s="365"/>
      <c r="BU12" s="365"/>
      <c r="BV12" s="365"/>
      <c r="BW12" s="365"/>
      <c r="BX12" s="365"/>
      <c r="BY12" s="365"/>
      <c r="BZ12" s="365"/>
      <c r="CA12" s="365"/>
      <c r="CB12" s="365"/>
      <c r="CC12" s="365"/>
      <c r="CD12" s="365"/>
      <c r="CE12" s="365"/>
      <c r="CF12" s="365"/>
      <c r="CG12" s="365"/>
      <c r="CH12" s="365"/>
      <c r="CI12" s="365"/>
      <c r="CJ12" s="365"/>
      <c r="CK12" s="365"/>
      <c r="CL12" s="365"/>
      <c r="CM12" s="366"/>
      <c r="CN12" s="364"/>
      <c r="CO12" s="365"/>
      <c r="CP12" s="365"/>
      <c r="CQ12" s="366"/>
      <c r="CR12" s="364"/>
      <c r="CS12" s="365"/>
      <c r="CT12" s="365"/>
      <c r="CU12" s="366"/>
      <c r="CV12" s="364"/>
      <c r="CW12" s="365"/>
      <c r="CX12" s="365"/>
      <c r="CY12" s="366"/>
      <c r="CZ12" s="364"/>
      <c r="DA12" s="365"/>
      <c r="DB12" s="366"/>
      <c r="DC12" s="383"/>
      <c r="DD12" s="375"/>
      <c r="DE12" s="383"/>
      <c r="DF12" s="375"/>
    </row>
    <row r="13" spans="1:110" ht="52.5" customHeight="1" x14ac:dyDescent="0.2">
      <c r="A13" s="388"/>
      <c r="B13" s="389"/>
      <c r="C13" s="389"/>
      <c r="D13" s="130" t="s">
        <v>3652</v>
      </c>
      <c r="E13" s="130" t="s">
        <v>3719</v>
      </c>
      <c r="F13" s="130" t="s">
        <v>3652</v>
      </c>
      <c r="G13" s="130" t="s">
        <v>3719</v>
      </c>
      <c r="H13" s="130" t="s">
        <v>3652</v>
      </c>
      <c r="I13" s="130" t="s">
        <v>3719</v>
      </c>
      <c r="J13" s="130" t="s">
        <v>3652</v>
      </c>
      <c r="K13" s="130" t="s">
        <v>3719</v>
      </c>
      <c r="L13" s="377"/>
      <c r="M13" s="377"/>
      <c r="N13" s="377"/>
      <c r="O13" s="379"/>
      <c r="P13" s="377"/>
      <c r="Q13" s="377"/>
      <c r="R13" s="377"/>
      <c r="S13" s="377"/>
      <c r="T13" s="377"/>
      <c r="U13" s="377"/>
      <c r="V13" s="377"/>
      <c r="W13" s="377"/>
      <c r="X13" s="377"/>
      <c r="Y13" s="377"/>
      <c r="Z13" s="390"/>
      <c r="AA13" s="376"/>
      <c r="AB13" s="376"/>
      <c r="AC13" s="376"/>
      <c r="AD13" s="376"/>
      <c r="AE13" s="130" t="s">
        <v>3749</v>
      </c>
      <c r="AF13" s="130" t="s">
        <v>3750</v>
      </c>
      <c r="AG13" s="131" t="s">
        <v>3679</v>
      </c>
      <c r="AH13" s="131" t="s">
        <v>3680</v>
      </c>
      <c r="AI13" s="131" t="s">
        <v>3723</v>
      </c>
      <c r="AJ13" s="131" t="s">
        <v>3722</v>
      </c>
      <c r="AK13" s="130" t="s">
        <v>94</v>
      </c>
      <c r="AL13" s="130" t="s">
        <v>3681</v>
      </c>
      <c r="AM13" s="130" t="s">
        <v>3720</v>
      </c>
      <c r="AN13" s="130" t="s">
        <v>95</v>
      </c>
      <c r="AO13" s="130" t="s">
        <v>96</v>
      </c>
      <c r="AP13" s="130" t="s">
        <v>3751</v>
      </c>
      <c r="AQ13" s="130" t="s">
        <v>94</v>
      </c>
      <c r="AR13" s="130" t="s">
        <v>3681</v>
      </c>
      <c r="AS13" s="130" t="s">
        <v>3720</v>
      </c>
      <c r="AT13" s="130" t="s">
        <v>95</v>
      </c>
      <c r="AU13" s="130" t="s">
        <v>96</v>
      </c>
      <c r="AV13" s="130" t="s">
        <v>3751</v>
      </c>
      <c r="AW13" s="130" t="s">
        <v>94</v>
      </c>
      <c r="AX13" s="130" t="s">
        <v>3681</v>
      </c>
      <c r="AY13" s="130" t="s">
        <v>3720</v>
      </c>
      <c r="AZ13" s="130" t="s">
        <v>95</v>
      </c>
      <c r="BA13" s="130" t="s">
        <v>96</v>
      </c>
      <c r="BB13" s="130" t="s">
        <v>3751</v>
      </c>
      <c r="BC13" s="371" t="s">
        <v>84</v>
      </c>
      <c r="BD13" s="372"/>
      <c r="BE13" s="373"/>
      <c r="BF13" s="371" t="s">
        <v>85</v>
      </c>
      <c r="BG13" s="372"/>
      <c r="BH13" s="373"/>
      <c r="BI13" s="371" t="s">
        <v>86</v>
      </c>
      <c r="BJ13" s="372"/>
      <c r="BK13" s="373"/>
      <c r="BL13" s="371" t="s">
        <v>87</v>
      </c>
      <c r="BM13" s="372"/>
      <c r="BN13" s="373"/>
      <c r="BO13" s="371" t="s">
        <v>88</v>
      </c>
      <c r="BP13" s="372"/>
      <c r="BQ13" s="373"/>
      <c r="BR13" s="371" t="s">
        <v>89</v>
      </c>
      <c r="BS13" s="372"/>
      <c r="BT13" s="373"/>
      <c r="BU13" s="371" t="s">
        <v>90</v>
      </c>
      <c r="BV13" s="372"/>
      <c r="BW13" s="373"/>
      <c r="BX13" s="371" t="s">
        <v>91</v>
      </c>
      <c r="BY13" s="372"/>
      <c r="BZ13" s="373"/>
      <c r="CA13" s="371" t="s">
        <v>92</v>
      </c>
      <c r="CB13" s="372"/>
      <c r="CC13" s="373"/>
      <c r="CD13" s="371" t="s">
        <v>93</v>
      </c>
      <c r="CE13" s="372"/>
      <c r="CF13" s="373"/>
      <c r="CG13" s="371" t="s">
        <v>3724</v>
      </c>
      <c r="CH13" s="372"/>
      <c r="CI13" s="373"/>
      <c r="CJ13" s="371" t="s">
        <v>3727</v>
      </c>
      <c r="CK13" s="372"/>
      <c r="CL13" s="372"/>
      <c r="CM13" s="373"/>
      <c r="CN13" s="130" t="s">
        <v>94</v>
      </c>
      <c r="CO13" s="130" t="s">
        <v>3725</v>
      </c>
      <c r="CP13" s="130" t="s">
        <v>95</v>
      </c>
      <c r="CQ13" s="131" t="s">
        <v>3752</v>
      </c>
      <c r="CR13" s="130" t="s">
        <v>94</v>
      </c>
      <c r="CS13" s="130" t="s">
        <v>3725</v>
      </c>
      <c r="CT13" s="130" t="s">
        <v>95</v>
      </c>
      <c r="CU13" s="131" t="s">
        <v>3752</v>
      </c>
      <c r="CV13" s="130" t="s">
        <v>94</v>
      </c>
      <c r="CW13" s="137" t="s">
        <v>3725</v>
      </c>
      <c r="CX13" s="130" t="s">
        <v>95</v>
      </c>
      <c r="CY13" s="131" t="s">
        <v>3752</v>
      </c>
      <c r="CZ13" s="132" t="s">
        <v>97</v>
      </c>
      <c r="DA13" s="132" t="s">
        <v>98</v>
      </c>
      <c r="DB13" s="132" t="s">
        <v>99</v>
      </c>
      <c r="DC13" s="384"/>
      <c r="DD13" s="376"/>
      <c r="DE13" s="384"/>
      <c r="DF13" s="376"/>
    </row>
    <row r="14" spans="1:110" ht="35.1" customHeight="1" x14ac:dyDescent="0.2">
      <c r="A14" s="121" t="s">
        <v>1260</v>
      </c>
      <c r="B14" s="118" t="s">
        <v>1261</v>
      </c>
      <c r="C14" s="118">
        <v>0</v>
      </c>
      <c r="D14" s="111">
        <v>387</v>
      </c>
      <c r="E14" s="111">
        <v>47919390</v>
      </c>
      <c r="F14" s="111">
        <v>113</v>
      </c>
      <c r="G14" s="111">
        <v>37199000</v>
      </c>
      <c r="H14" s="111">
        <v>34</v>
      </c>
      <c r="I14" s="111">
        <v>590000</v>
      </c>
      <c r="J14" s="111">
        <v>0</v>
      </c>
      <c r="K14" s="111">
        <v>0</v>
      </c>
      <c r="L14" s="111">
        <v>185635</v>
      </c>
      <c r="M14" s="111">
        <v>76860</v>
      </c>
      <c r="N14" s="111">
        <v>215478</v>
      </c>
      <c r="O14" s="111">
        <v>389864</v>
      </c>
      <c r="P14" s="111">
        <v>3704871</v>
      </c>
      <c r="Q14" s="111">
        <v>0</v>
      </c>
      <c r="R14" s="111">
        <v>4572708</v>
      </c>
      <c r="S14" s="146">
        <v>3.8739015667770397E-3</v>
      </c>
      <c r="T14" s="146">
        <v>1.603943622821576E-3</v>
      </c>
      <c r="U14" s="146">
        <v>4.496676606275664E-3</v>
      </c>
      <c r="V14" s="146">
        <v>8.1358297757963948E-3</v>
      </c>
      <c r="W14" s="146">
        <v>7.7314652795037672E-2</v>
      </c>
      <c r="X14" s="146">
        <v>0</v>
      </c>
      <c r="Y14" s="146">
        <v>9.5425004366708338E-2</v>
      </c>
      <c r="Z14" s="112">
        <v>0</v>
      </c>
      <c r="AA14" s="115" t="s">
        <v>3716</v>
      </c>
      <c r="AB14" s="115">
        <v>0</v>
      </c>
      <c r="AC14" s="110" t="s">
        <v>3716</v>
      </c>
      <c r="AD14" s="115">
        <v>0</v>
      </c>
      <c r="AE14" s="110">
        <v>0</v>
      </c>
      <c r="AF14" s="110" t="s">
        <v>3755</v>
      </c>
      <c r="AG14" s="115" t="s">
        <v>3756</v>
      </c>
      <c r="AH14" s="115" t="s">
        <v>3756</v>
      </c>
      <c r="AI14" s="113"/>
      <c r="AJ14" s="116"/>
      <c r="AK14" s="109">
        <v>0</v>
      </c>
      <c r="AL14" s="109">
        <v>0</v>
      </c>
      <c r="AM14" s="115">
        <v>0</v>
      </c>
      <c r="AN14" s="115">
        <v>0</v>
      </c>
      <c r="AO14" s="112">
        <v>0</v>
      </c>
      <c r="AP14" s="112">
        <v>0</v>
      </c>
      <c r="AQ14" s="145">
        <v>0</v>
      </c>
      <c r="AR14" s="109">
        <v>0</v>
      </c>
      <c r="AS14" s="115">
        <v>0</v>
      </c>
      <c r="AT14" s="115">
        <v>0</v>
      </c>
      <c r="AU14" s="112">
        <v>0</v>
      </c>
      <c r="AV14" s="112">
        <v>0</v>
      </c>
      <c r="AW14" s="145">
        <v>0</v>
      </c>
      <c r="AX14" s="109">
        <v>0</v>
      </c>
      <c r="AY14" s="115">
        <v>0</v>
      </c>
      <c r="AZ14" s="115">
        <v>0</v>
      </c>
      <c r="BA14" s="112">
        <v>0</v>
      </c>
      <c r="BB14" s="112">
        <v>0</v>
      </c>
      <c r="BC14" s="110" t="s">
        <v>3755</v>
      </c>
      <c r="BD14" s="111"/>
      <c r="BE14" s="111"/>
      <c r="BF14" s="110" t="s">
        <v>3755</v>
      </c>
      <c r="BG14" s="111">
        <v>1</v>
      </c>
      <c r="BH14" s="111">
        <v>5000</v>
      </c>
      <c r="BI14" s="110" t="s">
        <v>3755</v>
      </c>
      <c r="BJ14" s="111">
        <v>1</v>
      </c>
      <c r="BK14" s="111">
        <v>100000</v>
      </c>
      <c r="BL14" s="110" t="s">
        <v>3755</v>
      </c>
      <c r="BM14" s="111">
        <v>92</v>
      </c>
      <c r="BN14" s="111">
        <v>1276000</v>
      </c>
      <c r="BO14" s="110" t="s">
        <v>3755</v>
      </c>
      <c r="BP14" s="111">
        <v>99</v>
      </c>
      <c r="BQ14" s="111">
        <v>36450500</v>
      </c>
      <c r="BR14" s="110" t="s">
        <v>3755</v>
      </c>
      <c r="BS14" s="111"/>
      <c r="BT14" s="111">
        <v>0</v>
      </c>
      <c r="BU14" s="110" t="s">
        <v>3755</v>
      </c>
      <c r="BV14" s="111">
        <v>1</v>
      </c>
      <c r="BW14" s="111">
        <v>5000</v>
      </c>
      <c r="BX14" s="110">
        <v>0</v>
      </c>
      <c r="BY14" s="111"/>
      <c r="BZ14" s="111"/>
      <c r="CA14" s="110" t="s">
        <v>3755</v>
      </c>
      <c r="CB14" s="111">
        <v>6</v>
      </c>
      <c r="CC14" s="111">
        <v>1042000</v>
      </c>
      <c r="CD14" s="110" t="s">
        <v>3755</v>
      </c>
      <c r="CE14" s="111">
        <v>180</v>
      </c>
      <c r="CF14" s="111">
        <v>3930090</v>
      </c>
      <c r="CG14" s="110" t="s">
        <v>3755</v>
      </c>
      <c r="CH14" s="111">
        <v>7</v>
      </c>
      <c r="CI14" s="111">
        <v>5110800</v>
      </c>
      <c r="CJ14" s="110">
        <v>0</v>
      </c>
      <c r="CK14" s="112">
        <v>0</v>
      </c>
      <c r="CL14" s="111"/>
      <c r="CM14" s="111"/>
      <c r="CN14" s="141" t="s">
        <v>3778</v>
      </c>
      <c r="CO14" s="114" t="s">
        <v>3779</v>
      </c>
      <c r="CP14" s="110" t="s">
        <v>3760</v>
      </c>
      <c r="CQ14" s="111">
        <v>36428500</v>
      </c>
      <c r="CR14" s="141">
        <v>0</v>
      </c>
      <c r="CS14" s="141">
        <v>0</v>
      </c>
      <c r="CT14" s="110">
        <v>0</v>
      </c>
      <c r="CU14" s="111">
        <v>0</v>
      </c>
      <c r="CV14" s="141">
        <v>0</v>
      </c>
      <c r="CW14" s="141">
        <v>0</v>
      </c>
      <c r="CX14" s="110">
        <v>0</v>
      </c>
      <c r="CY14" s="111">
        <v>0</v>
      </c>
      <c r="CZ14" s="110">
        <v>0</v>
      </c>
      <c r="DA14" s="110">
        <v>0</v>
      </c>
      <c r="DB14" s="110">
        <v>0</v>
      </c>
      <c r="DC14" s="112" t="s">
        <v>3780</v>
      </c>
      <c r="DD14" s="115" t="s">
        <v>3762</v>
      </c>
      <c r="DE14" s="109">
        <v>0</v>
      </c>
      <c r="DF14" s="144" t="s">
        <v>3716</v>
      </c>
    </row>
    <row r="15" spans="1:110" ht="35.1" customHeight="1" x14ac:dyDescent="0.2">
      <c r="A15" s="121" t="s">
        <v>1262</v>
      </c>
      <c r="B15" s="118" t="s">
        <v>1261</v>
      </c>
      <c r="C15" s="118" t="s">
        <v>1263</v>
      </c>
      <c r="D15" s="111">
        <v>14517</v>
      </c>
      <c r="E15" s="111">
        <v>1713148773</v>
      </c>
      <c r="F15" s="111">
        <v>14304</v>
      </c>
      <c r="G15" s="111">
        <v>232072590</v>
      </c>
      <c r="H15" s="111">
        <v>5267</v>
      </c>
      <c r="I15" s="111">
        <v>87429940</v>
      </c>
      <c r="J15" s="111">
        <v>0</v>
      </c>
      <c r="K15" s="111">
        <v>0</v>
      </c>
      <c r="L15" s="111">
        <v>63414100</v>
      </c>
      <c r="M15" s="111">
        <v>16608953</v>
      </c>
      <c r="N15" s="111">
        <v>0</v>
      </c>
      <c r="O15" s="111">
        <v>4623813</v>
      </c>
      <c r="P15" s="111">
        <v>39106964</v>
      </c>
      <c r="Q15" s="111">
        <v>0</v>
      </c>
      <c r="R15" s="111">
        <v>123753830</v>
      </c>
      <c r="S15" s="146">
        <v>3.7016107999162079E-2</v>
      </c>
      <c r="T15" s="146">
        <v>9.6949857839345975E-3</v>
      </c>
      <c r="U15" s="146">
        <v>0</v>
      </c>
      <c r="V15" s="146">
        <v>2.6990142787791612E-3</v>
      </c>
      <c r="W15" s="146">
        <v>2.2827535247576539E-2</v>
      </c>
      <c r="X15" s="146">
        <v>0</v>
      </c>
      <c r="Y15" s="146">
        <v>7.2237643309452385E-2</v>
      </c>
      <c r="Z15" s="112">
        <v>0</v>
      </c>
      <c r="AA15" s="115" t="s">
        <v>3716</v>
      </c>
      <c r="AB15" s="115">
        <v>0</v>
      </c>
      <c r="AC15" s="110" t="s">
        <v>3716</v>
      </c>
      <c r="AD15" s="115">
        <v>0</v>
      </c>
      <c r="AE15" s="110" t="s">
        <v>3755</v>
      </c>
      <c r="AF15" s="110" t="s">
        <v>3755</v>
      </c>
      <c r="AG15" s="115" t="s">
        <v>3756</v>
      </c>
      <c r="AH15" s="115" t="s">
        <v>3762</v>
      </c>
      <c r="AI15" s="113"/>
      <c r="AJ15" s="116"/>
      <c r="AK15" s="109">
        <v>0</v>
      </c>
      <c r="AL15" s="109">
        <v>0</v>
      </c>
      <c r="AM15" s="115">
        <v>0</v>
      </c>
      <c r="AN15" s="115">
        <v>0</v>
      </c>
      <c r="AO15" s="112">
        <v>0</v>
      </c>
      <c r="AP15" s="112">
        <v>0</v>
      </c>
      <c r="AQ15" s="145">
        <v>0</v>
      </c>
      <c r="AR15" s="109">
        <v>0</v>
      </c>
      <c r="AS15" s="115">
        <v>0</v>
      </c>
      <c r="AT15" s="115">
        <v>0</v>
      </c>
      <c r="AU15" s="112">
        <v>0</v>
      </c>
      <c r="AV15" s="112">
        <v>0</v>
      </c>
      <c r="AW15" s="145">
        <v>0</v>
      </c>
      <c r="AX15" s="109">
        <v>0</v>
      </c>
      <c r="AY15" s="115">
        <v>0</v>
      </c>
      <c r="AZ15" s="115">
        <v>0</v>
      </c>
      <c r="BA15" s="112">
        <v>0</v>
      </c>
      <c r="BB15" s="112">
        <v>0</v>
      </c>
      <c r="BC15" s="110" t="s">
        <v>3755</v>
      </c>
      <c r="BD15" s="111">
        <v>161</v>
      </c>
      <c r="BE15" s="111">
        <v>6576776</v>
      </c>
      <c r="BF15" s="110" t="s">
        <v>3755</v>
      </c>
      <c r="BG15" s="111">
        <v>934</v>
      </c>
      <c r="BH15" s="111">
        <v>1451413000</v>
      </c>
      <c r="BI15" s="110" t="s">
        <v>3755</v>
      </c>
      <c r="BJ15" s="111">
        <v>11</v>
      </c>
      <c r="BK15" s="111">
        <v>1930000</v>
      </c>
      <c r="BL15" s="110" t="s">
        <v>3755</v>
      </c>
      <c r="BM15" s="111">
        <v>1671</v>
      </c>
      <c r="BN15" s="111">
        <v>26003850</v>
      </c>
      <c r="BO15" s="110" t="s">
        <v>3755</v>
      </c>
      <c r="BP15" s="111">
        <v>2134</v>
      </c>
      <c r="BQ15" s="111">
        <v>36754800</v>
      </c>
      <c r="BR15" s="110" t="s">
        <v>3755</v>
      </c>
      <c r="BS15" s="111">
        <v>3236</v>
      </c>
      <c r="BT15" s="111">
        <v>53685560</v>
      </c>
      <c r="BU15" s="110">
        <v>0</v>
      </c>
      <c r="BV15" s="111"/>
      <c r="BW15" s="111"/>
      <c r="BX15" s="110">
        <v>0</v>
      </c>
      <c r="BY15" s="111"/>
      <c r="BZ15" s="111"/>
      <c r="CA15" s="110">
        <v>0</v>
      </c>
      <c r="CB15" s="111"/>
      <c r="CC15" s="111"/>
      <c r="CD15" s="110">
        <v>0</v>
      </c>
      <c r="CE15" s="111"/>
      <c r="CF15" s="111"/>
      <c r="CG15" s="110" t="s">
        <v>3755</v>
      </c>
      <c r="CH15" s="111">
        <v>4277</v>
      </c>
      <c r="CI15" s="111">
        <v>94596247</v>
      </c>
      <c r="CJ15" s="110" t="s">
        <v>3755</v>
      </c>
      <c r="CK15" s="112" t="s">
        <v>3781</v>
      </c>
      <c r="CL15" s="111">
        <v>2093</v>
      </c>
      <c r="CM15" s="111">
        <v>42188540</v>
      </c>
      <c r="CN15" s="141" t="s">
        <v>3782</v>
      </c>
      <c r="CO15" s="114" t="s">
        <v>3783</v>
      </c>
      <c r="CP15" s="110" t="s">
        <v>3760</v>
      </c>
      <c r="CQ15" s="111">
        <v>3188000</v>
      </c>
      <c r="CR15" s="141" t="s">
        <v>3784</v>
      </c>
      <c r="CS15" s="141" t="s">
        <v>3785</v>
      </c>
      <c r="CT15" s="110" t="s">
        <v>3716</v>
      </c>
      <c r="CU15" s="111">
        <v>6576776</v>
      </c>
      <c r="CV15" s="141" t="s">
        <v>3786</v>
      </c>
      <c r="CW15" s="141" t="s">
        <v>3787</v>
      </c>
      <c r="CX15" s="110" t="s">
        <v>3764</v>
      </c>
      <c r="CY15" s="111">
        <v>24287540</v>
      </c>
      <c r="CZ15" s="110" t="s">
        <v>3755</v>
      </c>
      <c r="DA15" s="110" t="s">
        <v>3755</v>
      </c>
      <c r="DB15" s="110" t="s">
        <v>3755</v>
      </c>
      <c r="DC15" s="112">
        <v>0</v>
      </c>
      <c r="DD15" s="115" t="s">
        <v>3762</v>
      </c>
      <c r="DE15" s="109">
        <v>0</v>
      </c>
      <c r="DF15" s="144" t="s">
        <v>3716</v>
      </c>
    </row>
    <row r="16" spans="1:110" ht="35.1" customHeight="1" x14ac:dyDescent="0.2">
      <c r="A16" s="121" t="s">
        <v>1264</v>
      </c>
      <c r="B16" s="118" t="s">
        <v>1261</v>
      </c>
      <c r="C16" s="118" t="s">
        <v>1265</v>
      </c>
      <c r="D16" s="111">
        <v>53648</v>
      </c>
      <c r="E16" s="111">
        <v>703684000</v>
      </c>
      <c r="F16" s="111">
        <v>53634</v>
      </c>
      <c r="G16" s="111">
        <v>703279000</v>
      </c>
      <c r="H16" s="111">
        <v>13161</v>
      </c>
      <c r="I16" s="111">
        <v>172040500</v>
      </c>
      <c r="J16" s="111">
        <v>0</v>
      </c>
      <c r="K16" s="111">
        <v>0</v>
      </c>
      <c r="L16" s="111">
        <v>185475989</v>
      </c>
      <c r="M16" s="111">
        <v>52373040</v>
      </c>
      <c r="N16" s="111">
        <v>2249296</v>
      </c>
      <c r="O16" s="111">
        <v>12168761</v>
      </c>
      <c r="P16" s="111">
        <v>91768801</v>
      </c>
      <c r="Q16" s="111">
        <v>363000</v>
      </c>
      <c r="R16" s="111">
        <v>344398887</v>
      </c>
      <c r="S16" s="146">
        <v>0.26357852246178681</v>
      </c>
      <c r="T16" s="146">
        <v>7.442693026983703E-2</v>
      </c>
      <c r="U16" s="146">
        <v>3.1964575008100226E-3</v>
      </c>
      <c r="V16" s="146">
        <v>1.7292934044258503E-2</v>
      </c>
      <c r="W16" s="146">
        <v>0.13041194769243011</v>
      </c>
      <c r="X16" s="146">
        <v>5.1585654924653679E-4</v>
      </c>
      <c r="Y16" s="146">
        <v>0.48942264851836903</v>
      </c>
      <c r="Z16" s="112" t="s">
        <v>3788</v>
      </c>
      <c r="AA16" s="115" t="s">
        <v>3716</v>
      </c>
      <c r="AB16" s="115">
        <v>0</v>
      </c>
      <c r="AC16" s="110" t="s">
        <v>3716</v>
      </c>
      <c r="AD16" s="115">
        <v>0</v>
      </c>
      <c r="AE16" s="110">
        <v>0</v>
      </c>
      <c r="AF16" s="110" t="s">
        <v>3755</v>
      </c>
      <c r="AG16" s="115" t="s">
        <v>3756</v>
      </c>
      <c r="AH16" s="115"/>
      <c r="AI16" s="113"/>
      <c r="AJ16" s="116"/>
      <c r="AK16" s="109">
        <v>0</v>
      </c>
      <c r="AL16" s="109">
        <v>0</v>
      </c>
      <c r="AM16" s="115">
        <v>0</v>
      </c>
      <c r="AN16" s="115">
        <v>0</v>
      </c>
      <c r="AO16" s="112">
        <v>0</v>
      </c>
      <c r="AP16" s="112">
        <v>0</v>
      </c>
      <c r="AQ16" s="145">
        <v>0</v>
      </c>
      <c r="AR16" s="112">
        <v>0</v>
      </c>
      <c r="AS16" s="115">
        <v>0</v>
      </c>
      <c r="AT16" s="115">
        <v>0</v>
      </c>
      <c r="AU16" s="112">
        <v>0</v>
      </c>
      <c r="AV16" s="112">
        <v>0</v>
      </c>
      <c r="AW16" s="145">
        <v>0</v>
      </c>
      <c r="AX16" s="112">
        <v>0</v>
      </c>
      <c r="AY16" s="115">
        <v>0</v>
      </c>
      <c r="AZ16" s="115">
        <v>0</v>
      </c>
      <c r="BA16" s="112">
        <v>0</v>
      </c>
      <c r="BB16" s="112">
        <v>0</v>
      </c>
      <c r="BC16" s="110">
        <v>0</v>
      </c>
      <c r="BD16" s="111"/>
      <c r="BE16" s="111"/>
      <c r="BF16" s="110">
        <v>0</v>
      </c>
      <c r="BG16" s="111"/>
      <c r="BH16" s="111"/>
      <c r="BI16" s="110">
        <v>0</v>
      </c>
      <c r="BJ16" s="111"/>
      <c r="BK16" s="111"/>
      <c r="BL16" s="110">
        <v>0</v>
      </c>
      <c r="BM16" s="111"/>
      <c r="BN16" s="111"/>
      <c r="BO16" s="110">
        <v>0</v>
      </c>
      <c r="BP16" s="111"/>
      <c r="BQ16" s="111"/>
      <c r="BR16" s="110" t="s">
        <v>3755</v>
      </c>
      <c r="BS16" s="111">
        <v>21793</v>
      </c>
      <c r="BT16" s="111">
        <v>275372000</v>
      </c>
      <c r="BU16" s="110">
        <v>0</v>
      </c>
      <c r="BV16" s="111"/>
      <c r="BW16" s="111"/>
      <c r="BX16" s="110">
        <v>0</v>
      </c>
      <c r="BY16" s="111"/>
      <c r="BZ16" s="111"/>
      <c r="CA16" s="110">
        <v>0</v>
      </c>
      <c r="CB16" s="111"/>
      <c r="CC16" s="111"/>
      <c r="CD16" s="110">
        <v>0</v>
      </c>
      <c r="CE16" s="111">
        <v>0</v>
      </c>
      <c r="CF16" s="111">
        <v>0</v>
      </c>
      <c r="CG16" s="110" t="s">
        <v>3755</v>
      </c>
      <c r="CH16" s="111">
        <v>3501</v>
      </c>
      <c r="CI16" s="111">
        <v>48744500</v>
      </c>
      <c r="CJ16" s="110" t="s">
        <v>3755</v>
      </c>
      <c r="CK16" s="112" t="s">
        <v>3789</v>
      </c>
      <c r="CL16" s="111">
        <v>28354</v>
      </c>
      <c r="CM16" s="111">
        <v>379567500</v>
      </c>
      <c r="CN16" s="141" t="s">
        <v>3790</v>
      </c>
      <c r="CO16" s="114" t="s">
        <v>3791</v>
      </c>
      <c r="CP16" s="110" t="s">
        <v>3764</v>
      </c>
      <c r="CQ16" s="111">
        <v>11243100</v>
      </c>
      <c r="CR16" s="141" t="s">
        <v>3792</v>
      </c>
      <c r="CS16" s="141" t="s">
        <v>3793</v>
      </c>
      <c r="CT16" s="110" t="s">
        <v>3761</v>
      </c>
      <c r="CU16" s="111">
        <v>4757500</v>
      </c>
      <c r="CV16" s="141" t="s">
        <v>3794</v>
      </c>
      <c r="CW16" s="141" t="s">
        <v>3795</v>
      </c>
      <c r="CX16" s="110" t="s">
        <v>3761</v>
      </c>
      <c r="CY16" s="111">
        <v>6811111</v>
      </c>
      <c r="CZ16" s="110" t="s">
        <v>3755</v>
      </c>
      <c r="DA16" s="110" t="s">
        <v>3755</v>
      </c>
      <c r="DB16" s="110" t="s">
        <v>3755</v>
      </c>
      <c r="DC16" s="112">
        <v>0</v>
      </c>
      <c r="DD16" s="115" t="s">
        <v>3762</v>
      </c>
      <c r="DE16" s="109">
        <v>0</v>
      </c>
      <c r="DF16" s="144" t="s">
        <v>3716</v>
      </c>
    </row>
    <row r="17" spans="1:110" ht="35.1" customHeight="1" x14ac:dyDescent="0.2">
      <c r="A17" s="121" t="s">
        <v>1266</v>
      </c>
      <c r="B17" s="118" t="s">
        <v>1261</v>
      </c>
      <c r="C17" s="118" t="s">
        <v>1267</v>
      </c>
      <c r="D17" s="111">
        <v>1618</v>
      </c>
      <c r="E17" s="111">
        <v>32067530</v>
      </c>
      <c r="F17" s="111">
        <v>1564</v>
      </c>
      <c r="G17" s="111">
        <v>23375360</v>
      </c>
      <c r="H17" s="111">
        <v>331</v>
      </c>
      <c r="I17" s="111">
        <v>4473300</v>
      </c>
      <c r="J17" s="111">
        <v>0</v>
      </c>
      <c r="K17" s="111">
        <v>0</v>
      </c>
      <c r="L17" s="111">
        <v>6497752</v>
      </c>
      <c r="M17" s="111">
        <v>1695760</v>
      </c>
      <c r="N17" s="111">
        <v>0</v>
      </c>
      <c r="O17" s="111">
        <v>373690</v>
      </c>
      <c r="P17" s="111">
        <v>4883180</v>
      </c>
      <c r="Q17" s="111">
        <v>0</v>
      </c>
      <c r="R17" s="111">
        <v>13450382</v>
      </c>
      <c r="S17" s="146">
        <v>0.20262714340643012</v>
      </c>
      <c r="T17" s="146">
        <v>5.2880904765661714E-2</v>
      </c>
      <c r="U17" s="146">
        <v>0</v>
      </c>
      <c r="V17" s="146">
        <v>1.1653220562980685E-2</v>
      </c>
      <c r="W17" s="146">
        <v>0.15227802078925318</v>
      </c>
      <c r="X17" s="146">
        <v>0</v>
      </c>
      <c r="Y17" s="146">
        <v>0.41943928952432569</v>
      </c>
      <c r="Z17" s="112">
        <v>0</v>
      </c>
      <c r="AA17" s="115" t="s">
        <v>3758</v>
      </c>
      <c r="AB17" s="115" t="s">
        <v>3796</v>
      </c>
      <c r="AC17" s="110" t="s">
        <v>3716</v>
      </c>
      <c r="AD17" s="115">
        <v>0</v>
      </c>
      <c r="AE17" s="110">
        <v>0</v>
      </c>
      <c r="AF17" s="110" t="s">
        <v>3755</v>
      </c>
      <c r="AG17" s="115" t="s">
        <v>3756</v>
      </c>
      <c r="AH17" s="115" t="s">
        <v>3756</v>
      </c>
      <c r="AI17" s="113"/>
      <c r="AJ17" s="116"/>
      <c r="AK17" s="109">
        <v>0</v>
      </c>
      <c r="AL17" s="109">
        <v>0</v>
      </c>
      <c r="AM17" s="115">
        <v>0</v>
      </c>
      <c r="AN17" s="115">
        <v>0</v>
      </c>
      <c r="AO17" s="112">
        <v>0</v>
      </c>
      <c r="AP17" s="112">
        <v>0</v>
      </c>
      <c r="AQ17" s="145">
        <v>0</v>
      </c>
      <c r="AR17" s="109">
        <v>0</v>
      </c>
      <c r="AS17" s="115">
        <v>0</v>
      </c>
      <c r="AT17" s="115">
        <v>0</v>
      </c>
      <c r="AU17" s="112">
        <v>0</v>
      </c>
      <c r="AV17" s="112">
        <v>0</v>
      </c>
      <c r="AW17" s="145">
        <v>0</v>
      </c>
      <c r="AX17" s="109">
        <v>0</v>
      </c>
      <c r="AY17" s="115">
        <v>0</v>
      </c>
      <c r="AZ17" s="115">
        <v>0</v>
      </c>
      <c r="BA17" s="112">
        <v>0</v>
      </c>
      <c r="BB17" s="112">
        <v>0</v>
      </c>
      <c r="BC17" s="110" t="s">
        <v>3755</v>
      </c>
      <c r="BD17" s="111">
        <v>121</v>
      </c>
      <c r="BE17" s="111">
        <v>1854500</v>
      </c>
      <c r="BF17" s="110" t="s">
        <v>3755</v>
      </c>
      <c r="BG17" s="111">
        <v>57</v>
      </c>
      <c r="BH17" s="111">
        <v>773000</v>
      </c>
      <c r="BI17" s="110" t="s">
        <v>3755</v>
      </c>
      <c r="BJ17" s="111">
        <v>227</v>
      </c>
      <c r="BK17" s="111">
        <v>4160800</v>
      </c>
      <c r="BL17" s="110" t="s">
        <v>3755</v>
      </c>
      <c r="BM17" s="111">
        <v>196</v>
      </c>
      <c r="BN17" s="111">
        <v>3363720</v>
      </c>
      <c r="BO17" s="110" t="s">
        <v>3755</v>
      </c>
      <c r="BP17" s="111">
        <v>75</v>
      </c>
      <c r="BQ17" s="111">
        <v>3710460</v>
      </c>
      <c r="BR17" s="110" t="s">
        <v>3755</v>
      </c>
      <c r="BS17" s="111">
        <v>448</v>
      </c>
      <c r="BT17" s="111">
        <v>10907750</v>
      </c>
      <c r="BU17" s="110" t="s">
        <v>3755</v>
      </c>
      <c r="BV17" s="111">
        <v>63</v>
      </c>
      <c r="BW17" s="111">
        <v>853000</v>
      </c>
      <c r="BX17" s="110" t="s">
        <v>3755</v>
      </c>
      <c r="BY17" s="111">
        <v>9</v>
      </c>
      <c r="BZ17" s="111">
        <v>168000</v>
      </c>
      <c r="CA17" s="110" t="s">
        <v>3755</v>
      </c>
      <c r="CB17" s="111">
        <v>64</v>
      </c>
      <c r="CC17" s="111">
        <v>906000</v>
      </c>
      <c r="CD17" s="110">
        <v>0</v>
      </c>
      <c r="CE17" s="111"/>
      <c r="CF17" s="111"/>
      <c r="CG17" s="110" t="s">
        <v>3755</v>
      </c>
      <c r="CH17" s="111">
        <v>358</v>
      </c>
      <c r="CI17" s="111">
        <v>5370300</v>
      </c>
      <c r="CJ17" s="110">
        <v>0</v>
      </c>
      <c r="CK17" s="112">
        <v>0</v>
      </c>
      <c r="CL17" s="111"/>
      <c r="CM17" s="111"/>
      <c r="CN17" s="141" t="s">
        <v>3797</v>
      </c>
      <c r="CO17" s="114" t="s">
        <v>3798</v>
      </c>
      <c r="CP17" s="110" t="s">
        <v>3765</v>
      </c>
      <c r="CQ17" s="111">
        <v>6044683</v>
      </c>
      <c r="CR17" s="141" t="s">
        <v>3799</v>
      </c>
      <c r="CS17" s="141" t="s">
        <v>3800</v>
      </c>
      <c r="CT17" s="110" t="s">
        <v>3763</v>
      </c>
      <c r="CU17" s="111">
        <v>2283000</v>
      </c>
      <c r="CV17" s="141" t="s">
        <v>3801</v>
      </c>
      <c r="CW17" s="141" t="s">
        <v>3802</v>
      </c>
      <c r="CX17" s="110" t="s">
        <v>3758</v>
      </c>
      <c r="CY17" s="111">
        <v>2154420</v>
      </c>
      <c r="CZ17" s="110" t="s">
        <v>3755</v>
      </c>
      <c r="DA17" s="110">
        <v>0</v>
      </c>
      <c r="DB17" s="110">
        <v>0</v>
      </c>
      <c r="DC17" s="112" t="s">
        <v>3803</v>
      </c>
      <c r="DD17" s="115" t="s">
        <v>3762</v>
      </c>
      <c r="DE17" s="109">
        <v>0</v>
      </c>
      <c r="DF17" s="144" t="s">
        <v>3716</v>
      </c>
    </row>
    <row r="18" spans="1:110" ht="35.1" customHeight="1" x14ac:dyDescent="0.2">
      <c r="A18" s="121" t="s">
        <v>1268</v>
      </c>
      <c r="B18" s="118" t="s">
        <v>1261</v>
      </c>
      <c r="C18" s="118" t="s">
        <v>1269</v>
      </c>
      <c r="D18" s="111">
        <v>43099</v>
      </c>
      <c r="E18" s="111">
        <v>741184561</v>
      </c>
      <c r="F18" s="111">
        <v>42871</v>
      </c>
      <c r="G18" s="111">
        <v>736118227</v>
      </c>
      <c r="H18" s="111">
        <v>10632</v>
      </c>
      <c r="I18" s="111">
        <v>188044000</v>
      </c>
      <c r="J18" s="111">
        <v>0</v>
      </c>
      <c r="K18" s="111">
        <v>0</v>
      </c>
      <c r="L18" s="111">
        <v>213448994</v>
      </c>
      <c r="M18" s="111">
        <v>47433193</v>
      </c>
      <c r="N18" s="111">
        <v>6859391</v>
      </c>
      <c r="O18" s="111">
        <v>3590380</v>
      </c>
      <c r="P18" s="111">
        <v>84088290</v>
      </c>
      <c r="Q18" s="111">
        <v>0</v>
      </c>
      <c r="R18" s="111">
        <v>355420248</v>
      </c>
      <c r="S18" s="146">
        <v>0.28798359441272819</v>
      </c>
      <c r="T18" s="146">
        <v>6.3996466596664581E-2</v>
      </c>
      <c r="U18" s="146">
        <v>9.2546328686951701E-3</v>
      </c>
      <c r="V18" s="146">
        <v>4.8441106155204978E-3</v>
      </c>
      <c r="W18" s="146">
        <v>0.11345121636984556</v>
      </c>
      <c r="X18" s="146">
        <v>0</v>
      </c>
      <c r="Y18" s="146">
        <v>0.47953002086345403</v>
      </c>
      <c r="Z18" s="112">
        <v>0</v>
      </c>
      <c r="AA18" s="115" t="s">
        <v>3716</v>
      </c>
      <c r="AB18" s="115">
        <v>0</v>
      </c>
      <c r="AC18" s="110" t="s">
        <v>3716</v>
      </c>
      <c r="AD18" s="115">
        <v>0</v>
      </c>
      <c r="AE18" s="110" t="s">
        <v>3755</v>
      </c>
      <c r="AF18" s="110" t="s">
        <v>3755</v>
      </c>
      <c r="AG18" s="115" t="s">
        <v>3716</v>
      </c>
      <c r="AH18" s="115" t="s">
        <v>3756</v>
      </c>
      <c r="AI18" s="116">
        <v>1</v>
      </c>
      <c r="AJ18" s="116">
        <v>6515834</v>
      </c>
      <c r="AK18" s="109" t="s">
        <v>3804</v>
      </c>
      <c r="AL18" s="109" t="s">
        <v>3805</v>
      </c>
      <c r="AM18" s="115" t="s">
        <v>3757</v>
      </c>
      <c r="AN18" s="115" t="s">
        <v>3764</v>
      </c>
      <c r="AO18" s="112">
        <v>6000000</v>
      </c>
      <c r="AP18" s="112">
        <v>6515834</v>
      </c>
      <c r="AQ18" s="145">
        <v>0</v>
      </c>
      <c r="AR18" s="109">
        <v>0</v>
      </c>
      <c r="AS18" s="115">
        <v>0</v>
      </c>
      <c r="AT18" s="115">
        <v>0</v>
      </c>
      <c r="AU18" s="112">
        <v>0</v>
      </c>
      <c r="AV18" s="112">
        <v>0</v>
      </c>
      <c r="AW18" s="145">
        <v>0</v>
      </c>
      <c r="AX18" s="109">
        <v>0</v>
      </c>
      <c r="AY18" s="115">
        <v>0</v>
      </c>
      <c r="AZ18" s="115">
        <v>0</v>
      </c>
      <c r="BA18" s="112">
        <v>0</v>
      </c>
      <c r="BB18" s="112">
        <v>0</v>
      </c>
      <c r="BC18" s="110" t="s">
        <v>3755</v>
      </c>
      <c r="BD18" s="111">
        <v>4977</v>
      </c>
      <c r="BE18" s="111">
        <v>88679000</v>
      </c>
      <c r="BF18" s="110"/>
      <c r="BG18" s="111"/>
      <c r="BH18" s="111"/>
      <c r="BI18" s="110" t="s">
        <v>3755</v>
      </c>
      <c r="BJ18" s="111">
        <v>5995</v>
      </c>
      <c r="BK18" s="111">
        <v>104876000</v>
      </c>
      <c r="BL18" s="110" t="s">
        <v>3755</v>
      </c>
      <c r="BM18" s="111">
        <v>6443</v>
      </c>
      <c r="BN18" s="111">
        <v>111621000</v>
      </c>
      <c r="BO18" s="110"/>
      <c r="BP18" s="111"/>
      <c r="BQ18" s="111"/>
      <c r="BR18" s="110"/>
      <c r="BS18" s="111"/>
      <c r="BT18" s="111"/>
      <c r="BU18" s="110" t="s">
        <v>3755</v>
      </c>
      <c r="BV18" s="111">
        <v>3188</v>
      </c>
      <c r="BW18" s="111">
        <v>54442200</v>
      </c>
      <c r="BX18" s="110"/>
      <c r="BY18" s="111"/>
      <c r="BZ18" s="111"/>
      <c r="CA18" s="110" t="s">
        <v>3755</v>
      </c>
      <c r="CB18" s="111">
        <v>3359</v>
      </c>
      <c r="CC18" s="111">
        <v>58598000</v>
      </c>
      <c r="CD18" s="110"/>
      <c r="CE18" s="111"/>
      <c r="CF18" s="111"/>
      <c r="CG18" s="110" t="s">
        <v>3755</v>
      </c>
      <c r="CH18" s="111">
        <v>18416</v>
      </c>
      <c r="CI18" s="111">
        <v>313065327</v>
      </c>
      <c r="CJ18" s="110" t="s">
        <v>3755</v>
      </c>
      <c r="CK18" s="112" t="s">
        <v>3806</v>
      </c>
      <c r="CL18" s="111">
        <v>721</v>
      </c>
      <c r="CM18" s="111">
        <v>9903034</v>
      </c>
      <c r="CN18" s="141" t="s">
        <v>3807</v>
      </c>
      <c r="CO18" s="114">
        <v>0</v>
      </c>
      <c r="CP18" s="110">
        <v>0</v>
      </c>
      <c r="CQ18" s="111">
        <v>0</v>
      </c>
      <c r="CR18" s="141">
        <v>0</v>
      </c>
      <c r="CS18" s="141">
        <v>0</v>
      </c>
      <c r="CT18" s="110">
        <v>0</v>
      </c>
      <c r="CU18" s="111">
        <v>0</v>
      </c>
      <c r="CV18" s="141">
        <v>0</v>
      </c>
      <c r="CW18" s="141">
        <v>0</v>
      </c>
      <c r="CX18" s="110">
        <v>0</v>
      </c>
      <c r="CY18" s="111">
        <v>0</v>
      </c>
      <c r="CZ18" s="110" t="s">
        <v>3755</v>
      </c>
      <c r="DA18" s="110" t="s">
        <v>3755</v>
      </c>
      <c r="DB18" s="110">
        <v>0</v>
      </c>
      <c r="DC18" s="112" t="s">
        <v>3808</v>
      </c>
      <c r="DD18" s="115" t="s">
        <v>3762</v>
      </c>
      <c r="DE18" s="109">
        <v>0</v>
      </c>
      <c r="DF18" s="144" t="s">
        <v>3716</v>
      </c>
    </row>
    <row r="19" spans="1:110" ht="35.1" customHeight="1" x14ac:dyDescent="0.2">
      <c r="A19" s="121" t="s">
        <v>1270</v>
      </c>
      <c r="B19" s="118" t="s">
        <v>1261</v>
      </c>
      <c r="C19" s="118" t="s">
        <v>1271</v>
      </c>
      <c r="D19" s="111">
        <v>8023</v>
      </c>
      <c r="E19" s="111">
        <v>371155600</v>
      </c>
      <c r="F19" s="111">
        <v>8008</v>
      </c>
      <c r="G19" s="111">
        <v>369844600</v>
      </c>
      <c r="H19" s="111">
        <v>1910</v>
      </c>
      <c r="I19" s="111">
        <v>53351700</v>
      </c>
      <c r="J19" s="111">
        <v>0</v>
      </c>
      <c r="K19" s="111">
        <v>0</v>
      </c>
      <c r="L19" s="111">
        <v>110494733</v>
      </c>
      <c r="M19" s="111">
        <v>8996188</v>
      </c>
      <c r="N19" s="111">
        <v>1802000</v>
      </c>
      <c r="O19" s="111">
        <v>4578233</v>
      </c>
      <c r="P19" s="111">
        <v>51728215</v>
      </c>
      <c r="Q19" s="111">
        <v>0</v>
      </c>
      <c r="R19" s="111">
        <v>177599369</v>
      </c>
      <c r="S19" s="146">
        <v>0.29770460960308831</v>
      </c>
      <c r="T19" s="146">
        <v>2.4238319454158847E-2</v>
      </c>
      <c r="U19" s="146">
        <v>4.8551065914134127E-3</v>
      </c>
      <c r="V19" s="146">
        <v>1.2335077256007992E-2</v>
      </c>
      <c r="W19" s="146">
        <v>0.13937069789597678</v>
      </c>
      <c r="X19" s="146">
        <v>0</v>
      </c>
      <c r="Y19" s="146">
        <v>0.47850381080064536</v>
      </c>
      <c r="Z19" s="112">
        <v>0</v>
      </c>
      <c r="AA19" s="115" t="s">
        <v>3716</v>
      </c>
      <c r="AB19" s="115">
        <v>0</v>
      </c>
      <c r="AC19" s="110" t="s">
        <v>3716</v>
      </c>
      <c r="AD19" s="115">
        <v>0</v>
      </c>
      <c r="AE19" s="110">
        <v>0</v>
      </c>
      <c r="AF19" s="110" t="s">
        <v>3755</v>
      </c>
      <c r="AG19" s="115" t="s">
        <v>3756</v>
      </c>
      <c r="AH19" s="115" t="s">
        <v>3756</v>
      </c>
      <c r="AI19" s="113"/>
      <c r="AJ19" s="116"/>
      <c r="AK19" s="109">
        <v>0</v>
      </c>
      <c r="AL19" s="109">
        <v>0</v>
      </c>
      <c r="AM19" s="115">
        <v>0</v>
      </c>
      <c r="AN19" s="115">
        <v>0</v>
      </c>
      <c r="AO19" s="112">
        <v>0</v>
      </c>
      <c r="AP19" s="112">
        <v>0</v>
      </c>
      <c r="AQ19" s="145">
        <v>0</v>
      </c>
      <c r="AR19" s="109">
        <v>0</v>
      </c>
      <c r="AS19" s="115">
        <v>0</v>
      </c>
      <c r="AT19" s="115">
        <v>0</v>
      </c>
      <c r="AU19" s="112">
        <v>0</v>
      </c>
      <c r="AV19" s="112">
        <v>0</v>
      </c>
      <c r="AW19" s="145">
        <v>0</v>
      </c>
      <c r="AX19" s="109">
        <v>0</v>
      </c>
      <c r="AY19" s="115">
        <v>0</v>
      </c>
      <c r="AZ19" s="115">
        <v>0</v>
      </c>
      <c r="BA19" s="112">
        <v>0</v>
      </c>
      <c r="BB19" s="112">
        <v>0</v>
      </c>
      <c r="BC19" s="110" t="s">
        <v>3755</v>
      </c>
      <c r="BD19" s="111">
        <v>975</v>
      </c>
      <c r="BE19" s="111">
        <v>34093000</v>
      </c>
      <c r="BF19" s="110" t="s">
        <v>3755</v>
      </c>
      <c r="BG19" s="111">
        <v>348</v>
      </c>
      <c r="BH19" s="111">
        <v>12619700</v>
      </c>
      <c r="BI19" s="110" t="s">
        <v>3755</v>
      </c>
      <c r="BJ19" s="111">
        <v>617</v>
      </c>
      <c r="BK19" s="111">
        <v>27238000</v>
      </c>
      <c r="BL19" s="110" t="s">
        <v>3755</v>
      </c>
      <c r="BM19" s="111">
        <v>514</v>
      </c>
      <c r="BN19" s="111">
        <v>20817000</v>
      </c>
      <c r="BO19" s="110" t="s">
        <v>3755</v>
      </c>
      <c r="BP19" s="111">
        <v>437</v>
      </c>
      <c r="BQ19" s="111">
        <v>19438000</v>
      </c>
      <c r="BR19" s="110" t="s">
        <v>3755</v>
      </c>
      <c r="BS19" s="111">
        <v>1426</v>
      </c>
      <c r="BT19" s="111">
        <v>71286000</v>
      </c>
      <c r="BU19" s="110">
        <v>0</v>
      </c>
      <c r="BV19" s="111"/>
      <c r="BW19" s="111"/>
      <c r="BX19" s="110" t="s">
        <v>3755</v>
      </c>
      <c r="BY19" s="111">
        <v>359</v>
      </c>
      <c r="BZ19" s="111">
        <v>16966200</v>
      </c>
      <c r="CA19" s="110" t="s">
        <v>3755</v>
      </c>
      <c r="CB19" s="111">
        <v>366</v>
      </c>
      <c r="CC19" s="111">
        <v>18577700</v>
      </c>
      <c r="CD19" s="110">
        <v>0</v>
      </c>
      <c r="CE19" s="111"/>
      <c r="CF19" s="111"/>
      <c r="CG19" s="110" t="s">
        <v>3755</v>
      </c>
      <c r="CH19" s="111">
        <v>2833</v>
      </c>
      <c r="CI19" s="111">
        <v>149501000</v>
      </c>
      <c r="CJ19" s="110" t="s">
        <v>3755</v>
      </c>
      <c r="CK19" s="112" t="s">
        <v>3809</v>
      </c>
      <c r="CL19" s="111">
        <v>30</v>
      </c>
      <c r="CM19" s="111">
        <v>619000</v>
      </c>
      <c r="CN19" s="141" t="s">
        <v>3810</v>
      </c>
      <c r="CO19" s="114" t="s">
        <v>3811</v>
      </c>
      <c r="CP19" s="110" t="s">
        <v>3760</v>
      </c>
      <c r="CQ19" s="111">
        <v>16055000</v>
      </c>
      <c r="CR19" s="141" t="s">
        <v>3812</v>
      </c>
      <c r="CS19" s="141" t="s">
        <v>3813</v>
      </c>
      <c r="CT19" s="110" t="s">
        <v>3768</v>
      </c>
      <c r="CU19" s="111">
        <v>31425000</v>
      </c>
      <c r="CV19" s="141" t="s">
        <v>3814</v>
      </c>
      <c r="CW19" s="141" t="s">
        <v>3815</v>
      </c>
      <c r="CX19" s="110" t="s">
        <v>3716</v>
      </c>
      <c r="CY19" s="111">
        <v>4516000</v>
      </c>
      <c r="CZ19" s="110" t="s">
        <v>3755</v>
      </c>
      <c r="DA19" s="110" t="s">
        <v>3755</v>
      </c>
      <c r="DB19" s="110">
        <v>0</v>
      </c>
      <c r="DC19" s="112" t="s">
        <v>3816</v>
      </c>
      <c r="DD19" s="115" t="s">
        <v>3762</v>
      </c>
      <c r="DE19" s="109">
        <v>0</v>
      </c>
      <c r="DF19" s="144" t="s">
        <v>3716</v>
      </c>
    </row>
    <row r="20" spans="1:110" ht="35.1" customHeight="1" x14ac:dyDescent="0.2">
      <c r="A20" s="121" t="s">
        <v>1272</v>
      </c>
      <c r="B20" s="118" t="s">
        <v>1261</v>
      </c>
      <c r="C20" s="118" t="s">
        <v>1273</v>
      </c>
      <c r="D20" s="111">
        <v>11091</v>
      </c>
      <c r="E20" s="111">
        <v>427492200</v>
      </c>
      <c r="F20" s="111">
        <v>11069</v>
      </c>
      <c r="G20" s="111">
        <v>427165200</v>
      </c>
      <c r="H20" s="111">
        <v>3066</v>
      </c>
      <c r="I20" s="111">
        <v>73604500</v>
      </c>
      <c r="J20" s="111">
        <v>0</v>
      </c>
      <c r="K20" s="111">
        <v>0</v>
      </c>
      <c r="L20" s="111">
        <v>123520022</v>
      </c>
      <c r="M20" s="111">
        <v>10872009</v>
      </c>
      <c r="N20" s="111">
        <v>461993</v>
      </c>
      <c r="O20" s="111">
        <v>7641088</v>
      </c>
      <c r="P20" s="111">
        <v>57027489</v>
      </c>
      <c r="Q20" s="111">
        <v>0</v>
      </c>
      <c r="R20" s="111">
        <v>199522601</v>
      </c>
      <c r="S20" s="146">
        <v>0.288940995882498</v>
      </c>
      <c r="T20" s="146">
        <v>2.5432064023624291E-2</v>
      </c>
      <c r="U20" s="146">
        <v>1.0807050982450674E-3</v>
      </c>
      <c r="V20" s="146">
        <v>1.7874216184529213E-2</v>
      </c>
      <c r="W20" s="146">
        <v>0.13340006905389151</v>
      </c>
      <c r="X20" s="146">
        <v>0</v>
      </c>
      <c r="Y20" s="146">
        <v>0.46672805024278807</v>
      </c>
      <c r="Z20" s="112">
        <v>0</v>
      </c>
      <c r="AA20" s="115" t="s">
        <v>3716</v>
      </c>
      <c r="AB20" s="115">
        <v>0</v>
      </c>
      <c r="AC20" s="110" t="s">
        <v>3716</v>
      </c>
      <c r="AD20" s="115">
        <v>0</v>
      </c>
      <c r="AE20" s="110">
        <v>0</v>
      </c>
      <c r="AF20" s="110" t="s">
        <v>3755</v>
      </c>
      <c r="AG20" s="115" t="s">
        <v>3756</v>
      </c>
      <c r="AH20" s="115" t="s">
        <v>3756</v>
      </c>
      <c r="AI20" s="113"/>
      <c r="AJ20" s="116"/>
      <c r="AK20" s="109">
        <v>0</v>
      </c>
      <c r="AL20" s="109">
        <v>0</v>
      </c>
      <c r="AM20" s="115">
        <v>0</v>
      </c>
      <c r="AN20" s="115">
        <v>0</v>
      </c>
      <c r="AO20" s="112">
        <v>0</v>
      </c>
      <c r="AP20" s="112">
        <v>0</v>
      </c>
      <c r="AQ20" s="145">
        <v>0</v>
      </c>
      <c r="AR20" s="109">
        <v>0</v>
      </c>
      <c r="AS20" s="115">
        <v>0</v>
      </c>
      <c r="AT20" s="115">
        <v>0</v>
      </c>
      <c r="AU20" s="112">
        <v>0</v>
      </c>
      <c r="AV20" s="112">
        <v>0</v>
      </c>
      <c r="AW20" s="145">
        <v>0</v>
      </c>
      <c r="AX20" s="109">
        <v>0</v>
      </c>
      <c r="AY20" s="115">
        <v>0</v>
      </c>
      <c r="AZ20" s="115">
        <v>0</v>
      </c>
      <c r="BA20" s="112">
        <v>0</v>
      </c>
      <c r="BB20" s="112">
        <v>0</v>
      </c>
      <c r="BC20" s="110" t="s">
        <v>3755</v>
      </c>
      <c r="BD20" s="111">
        <v>324</v>
      </c>
      <c r="BE20" s="111">
        <v>12913300</v>
      </c>
      <c r="BF20" s="110" t="s">
        <v>3755</v>
      </c>
      <c r="BG20" s="111">
        <v>207</v>
      </c>
      <c r="BH20" s="111">
        <v>8646550</v>
      </c>
      <c r="BI20" s="110" t="s">
        <v>3755</v>
      </c>
      <c r="BJ20" s="111">
        <v>540</v>
      </c>
      <c r="BK20" s="111">
        <v>17203000</v>
      </c>
      <c r="BL20" s="110" t="s">
        <v>3755</v>
      </c>
      <c r="BM20" s="111">
        <v>486</v>
      </c>
      <c r="BN20" s="111">
        <v>19438200</v>
      </c>
      <c r="BO20" s="110" t="s">
        <v>3755</v>
      </c>
      <c r="BP20" s="111">
        <v>118</v>
      </c>
      <c r="BQ20" s="111">
        <v>4266750</v>
      </c>
      <c r="BR20" s="110" t="s">
        <v>3755</v>
      </c>
      <c r="BS20" s="111">
        <v>3700</v>
      </c>
      <c r="BT20" s="111">
        <v>151108900</v>
      </c>
      <c r="BU20" s="110" t="s">
        <v>3755</v>
      </c>
      <c r="BV20" s="111">
        <v>207</v>
      </c>
      <c r="BW20" s="111">
        <v>8646550</v>
      </c>
      <c r="BX20" s="110" t="s">
        <v>3755</v>
      </c>
      <c r="BY20" s="111">
        <v>254</v>
      </c>
      <c r="BZ20" s="111">
        <v>10039250</v>
      </c>
      <c r="CA20" s="110" t="s">
        <v>3755</v>
      </c>
      <c r="CB20" s="111">
        <v>519</v>
      </c>
      <c r="CC20" s="111">
        <v>16634000</v>
      </c>
      <c r="CD20" s="110">
        <v>0</v>
      </c>
      <c r="CE20" s="111"/>
      <c r="CF20" s="111"/>
      <c r="CG20" s="110" t="s">
        <v>3755</v>
      </c>
      <c r="CH20" s="111">
        <v>4736</v>
      </c>
      <c r="CI20" s="111">
        <v>178595700</v>
      </c>
      <c r="CJ20" s="110">
        <v>0</v>
      </c>
      <c r="CK20" s="112">
        <v>0</v>
      </c>
      <c r="CL20" s="111"/>
      <c r="CM20" s="111"/>
      <c r="CN20" s="141" t="s">
        <v>3817</v>
      </c>
      <c r="CO20" s="114" t="s">
        <v>3818</v>
      </c>
      <c r="CP20" s="110" t="s">
        <v>3716</v>
      </c>
      <c r="CQ20" s="111">
        <v>6000000</v>
      </c>
      <c r="CR20" s="141" t="s">
        <v>3819</v>
      </c>
      <c r="CS20" s="141" t="s">
        <v>3820</v>
      </c>
      <c r="CT20" s="110" t="s">
        <v>3765</v>
      </c>
      <c r="CU20" s="111">
        <v>10000000</v>
      </c>
      <c r="CV20" s="141" t="s">
        <v>3821</v>
      </c>
      <c r="CW20" s="141" t="s">
        <v>3822</v>
      </c>
      <c r="CX20" s="110" t="s">
        <v>3761</v>
      </c>
      <c r="CY20" s="111">
        <v>5000000</v>
      </c>
      <c r="CZ20" s="110" t="s">
        <v>3755</v>
      </c>
      <c r="DA20" s="110" t="s">
        <v>3755</v>
      </c>
      <c r="DB20" s="110">
        <v>0</v>
      </c>
      <c r="DC20" s="112" t="s">
        <v>3823</v>
      </c>
      <c r="DD20" s="115" t="s">
        <v>3762</v>
      </c>
      <c r="DE20" s="109">
        <v>0</v>
      </c>
      <c r="DF20" s="144" t="s">
        <v>3716</v>
      </c>
    </row>
    <row r="21" spans="1:110" ht="35.1" customHeight="1" x14ac:dyDescent="0.2">
      <c r="A21" s="121" t="s">
        <v>1274</v>
      </c>
      <c r="B21" s="118" t="s">
        <v>1261</v>
      </c>
      <c r="C21" s="118" t="s">
        <v>1275</v>
      </c>
      <c r="D21" s="111">
        <v>5810</v>
      </c>
      <c r="E21" s="111">
        <v>169484932</v>
      </c>
      <c r="F21" s="111">
        <v>5744</v>
      </c>
      <c r="G21" s="111">
        <v>127569687</v>
      </c>
      <c r="H21" s="111">
        <v>1425</v>
      </c>
      <c r="I21" s="111">
        <v>32001450</v>
      </c>
      <c r="J21" s="111">
        <v>31</v>
      </c>
      <c r="K21" s="111">
        <v>770332</v>
      </c>
      <c r="L21" s="111">
        <v>33487755</v>
      </c>
      <c r="M21" s="111">
        <v>6770782</v>
      </c>
      <c r="N21" s="111">
        <v>0</v>
      </c>
      <c r="O21" s="111">
        <v>2296853</v>
      </c>
      <c r="P21" s="111">
        <v>25959674</v>
      </c>
      <c r="Q21" s="111">
        <v>776899</v>
      </c>
      <c r="R21" s="111">
        <v>69291963</v>
      </c>
      <c r="S21" s="146">
        <v>0.19758544081075008</v>
      </c>
      <c r="T21" s="146">
        <v>3.9949167870569166E-2</v>
      </c>
      <c r="U21" s="146">
        <v>0</v>
      </c>
      <c r="V21" s="146">
        <v>1.3551959887501975E-2</v>
      </c>
      <c r="W21" s="146">
        <v>0.15316803502036394</v>
      </c>
      <c r="X21" s="146">
        <v>4.5838824185267394E-3</v>
      </c>
      <c r="Y21" s="146">
        <v>0.40883848600771189</v>
      </c>
      <c r="Z21" s="112" t="s">
        <v>3824</v>
      </c>
      <c r="AA21" s="115" t="s">
        <v>3716</v>
      </c>
      <c r="AB21" s="115">
        <v>0</v>
      </c>
      <c r="AC21" s="110" t="s">
        <v>3716</v>
      </c>
      <c r="AD21" s="115">
        <v>0</v>
      </c>
      <c r="AE21" s="110">
        <v>0</v>
      </c>
      <c r="AF21" s="110" t="s">
        <v>3755</v>
      </c>
      <c r="AG21" s="115" t="s">
        <v>3756</v>
      </c>
      <c r="AH21" s="115" t="s">
        <v>3756</v>
      </c>
      <c r="AI21" s="113"/>
      <c r="AJ21" s="116"/>
      <c r="AK21" s="109">
        <v>0</v>
      </c>
      <c r="AL21" s="109">
        <v>0</v>
      </c>
      <c r="AM21" s="115">
        <v>0</v>
      </c>
      <c r="AN21" s="115">
        <v>0</v>
      </c>
      <c r="AO21" s="112">
        <v>0</v>
      </c>
      <c r="AP21" s="112">
        <v>0</v>
      </c>
      <c r="AQ21" s="145">
        <v>0</v>
      </c>
      <c r="AR21" s="109">
        <v>0</v>
      </c>
      <c r="AS21" s="115">
        <v>0</v>
      </c>
      <c r="AT21" s="115">
        <v>0</v>
      </c>
      <c r="AU21" s="112">
        <v>0</v>
      </c>
      <c r="AV21" s="112">
        <v>0</v>
      </c>
      <c r="AW21" s="145">
        <v>0</v>
      </c>
      <c r="AX21" s="109">
        <v>0</v>
      </c>
      <c r="AY21" s="115">
        <v>0</v>
      </c>
      <c r="AZ21" s="115">
        <v>0</v>
      </c>
      <c r="BA21" s="112">
        <v>0</v>
      </c>
      <c r="BB21" s="112">
        <v>0</v>
      </c>
      <c r="BC21" s="110" t="s">
        <v>3755</v>
      </c>
      <c r="BD21" s="111">
        <v>72</v>
      </c>
      <c r="BE21" s="111">
        <v>1066917</v>
      </c>
      <c r="BF21" s="110" t="s">
        <v>3755</v>
      </c>
      <c r="BG21" s="111">
        <v>163</v>
      </c>
      <c r="BH21" s="111">
        <v>3675000</v>
      </c>
      <c r="BI21" s="110" t="s">
        <v>3755</v>
      </c>
      <c r="BJ21" s="111">
        <v>953</v>
      </c>
      <c r="BK21" s="111">
        <v>49285263</v>
      </c>
      <c r="BL21" s="110" t="s">
        <v>3755</v>
      </c>
      <c r="BM21" s="111">
        <v>324</v>
      </c>
      <c r="BN21" s="111">
        <v>8169000</v>
      </c>
      <c r="BO21" s="110" t="s">
        <v>3755</v>
      </c>
      <c r="BP21" s="111">
        <v>171</v>
      </c>
      <c r="BQ21" s="111">
        <v>3590000</v>
      </c>
      <c r="BR21" s="110" t="s">
        <v>3755</v>
      </c>
      <c r="BS21" s="111">
        <v>2030</v>
      </c>
      <c r="BT21" s="111">
        <v>45140970</v>
      </c>
      <c r="BU21" s="110">
        <v>0</v>
      </c>
      <c r="BV21" s="111"/>
      <c r="BW21" s="111"/>
      <c r="BX21" s="110">
        <v>0</v>
      </c>
      <c r="BY21" s="111"/>
      <c r="BZ21" s="111"/>
      <c r="CA21" s="110" t="s">
        <v>3755</v>
      </c>
      <c r="CB21" s="111">
        <v>309</v>
      </c>
      <c r="CC21" s="111">
        <v>17898000</v>
      </c>
      <c r="CD21" s="110" t="s">
        <v>3755</v>
      </c>
      <c r="CE21" s="111">
        <v>31</v>
      </c>
      <c r="CF21" s="111">
        <v>770332</v>
      </c>
      <c r="CG21" s="110" t="s">
        <v>3755</v>
      </c>
      <c r="CH21" s="111">
        <v>1748</v>
      </c>
      <c r="CI21" s="111">
        <v>39610450</v>
      </c>
      <c r="CJ21" s="110" t="s">
        <v>3755</v>
      </c>
      <c r="CK21" s="112" t="s">
        <v>3825</v>
      </c>
      <c r="CL21" s="111">
        <v>9</v>
      </c>
      <c r="CM21" s="111">
        <v>279000</v>
      </c>
      <c r="CN21" s="141" t="s">
        <v>3826</v>
      </c>
      <c r="CO21" s="114">
        <v>0</v>
      </c>
      <c r="CP21" s="110">
        <v>0</v>
      </c>
      <c r="CQ21" s="111">
        <v>0</v>
      </c>
      <c r="CR21" s="141">
        <v>0</v>
      </c>
      <c r="CS21" s="141">
        <v>0</v>
      </c>
      <c r="CT21" s="110">
        <v>0</v>
      </c>
      <c r="CU21" s="111">
        <v>0</v>
      </c>
      <c r="CV21" s="141">
        <v>0</v>
      </c>
      <c r="CW21" s="141">
        <v>0</v>
      </c>
      <c r="CX21" s="110">
        <v>0</v>
      </c>
      <c r="CY21" s="111">
        <v>0</v>
      </c>
      <c r="CZ21" s="110" t="s">
        <v>3755</v>
      </c>
      <c r="DA21" s="110" t="s">
        <v>3755</v>
      </c>
      <c r="DB21" s="110" t="s">
        <v>3755</v>
      </c>
      <c r="DC21" s="112">
        <v>0</v>
      </c>
      <c r="DD21" s="115" t="s">
        <v>3762</v>
      </c>
      <c r="DE21" s="109">
        <v>0</v>
      </c>
      <c r="DF21" s="144" t="s">
        <v>3716</v>
      </c>
    </row>
    <row r="22" spans="1:110" ht="35.1" customHeight="1" x14ac:dyDescent="0.2">
      <c r="A22" s="121" t="s">
        <v>1276</v>
      </c>
      <c r="B22" s="118" t="s">
        <v>1261</v>
      </c>
      <c r="C22" s="118" t="s">
        <v>1277</v>
      </c>
      <c r="D22" s="111">
        <v>4214</v>
      </c>
      <c r="E22" s="111">
        <v>188049000</v>
      </c>
      <c r="F22" s="111">
        <v>4196</v>
      </c>
      <c r="G22" s="111">
        <v>185144000</v>
      </c>
      <c r="H22" s="111">
        <v>414</v>
      </c>
      <c r="I22" s="111">
        <v>10171000</v>
      </c>
      <c r="J22" s="111">
        <v>0</v>
      </c>
      <c r="K22" s="111">
        <v>0</v>
      </c>
      <c r="L22" s="111">
        <v>55623946</v>
      </c>
      <c r="M22" s="111">
        <v>4652189</v>
      </c>
      <c r="N22" s="111">
        <v>0</v>
      </c>
      <c r="O22" s="111">
        <v>2798743</v>
      </c>
      <c r="P22" s="111">
        <v>26305181</v>
      </c>
      <c r="Q22" s="111">
        <v>0</v>
      </c>
      <c r="R22" s="111">
        <v>89380059</v>
      </c>
      <c r="S22" s="146">
        <v>0.29579495769719594</v>
      </c>
      <c r="T22" s="146">
        <v>2.473923817728358E-2</v>
      </c>
      <c r="U22" s="146">
        <v>0</v>
      </c>
      <c r="V22" s="146">
        <v>1.4883051757786534E-2</v>
      </c>
      <c r="W22" s="146">
        <v>0.13988471621758158</v>
      </c>
      <c r="X22" s="146">
        <v>0</v>
      </c>
      <c r="Y22" s="146">
        <v>0.47530196384984763</v>
      </c>
      <c r="Z22" s="112">
        <v>0</v>
      </c>
      <c r="AA22" s="115" t="s">
        <v>3758</v>
      </c>
      <c r="AB22" s="115" t="s">
        <v>3827</v>
      </c>
      <c r="AC22" s="110" t="s">
        <v>3716</v>
      </c>
      <c r="AD22" s="115">
        <v>0</v>
      </c>
      <c r="AE22" s="110">
        <v>0</v>
      </c>
      <c r="AF22" s="110" t="s">
        <v>3755</v>
      </c>
      <c r="AG22" s="115" t="s">
        <v>3756</v>
      </c>
      <c r="AH22" s="115" t="s">
        <v>3756</v>
      </c>
      <c r="AI22" s="113"/>
      <c r="AJ22" s="116"/>
      <c r="AK22" s="109">
        <v>0</v>
      </c>
      <c r="AL22" s="109">
        <v>0</v>
      </c>
      <c r="AM22" s="115">
        <v>0</v>
      </c>
      <c r="AN22" s="115">
        <v>0</v>
      </c>
      <c r="AO22" s="112">
        <v>0</v>
      </c>
      <c r="AP22" s="112">
        <v>0</v>
      </c>
      <c r="AQ22" s="145">
        <v>0</v>
      </c>
      <c r="AR22" s="112">
        <v>0</v>
      </c>
      <c r="AS22" s="115">
        <v>0</v>
      </c>
      <c r="AT22" s="115">
        <v>0</v>
      </c>
      <c r="AU22" s="112">
        <v>0</v>
      </c>
      <c r="AV22" s="112">
        <v>0</v>
      </c>
      <c r="AW22" s="145">
        <v>0</v>
      </c>
      <c r="AX22" s="112">
        <v>0</v>
      </c>
      <c r="AY22" s="115">
        <v>0</v>
      </c>
      <c r="AZ22" s="115">
        <v>0</v>
      </c>
      <c r="BA22" s="112">
        <v>0</v>
      </c>
      <c r="BB22" s="112">
        <v>0</v>
      </c>
      <c r="BC22" s="110">
        <v>0</v>
      </c>
      <c r="BD22" s="111"/>
      <c r="BE22" s="111"/>
      <c r="BF22" s="110" t="s">
        <v>3755</v>
      </c>
      <c r="BG22" s="111">
        <v>1662</v>
      </c>
      <c r="BH22" s="111">
        <v>82063000</v>
      </c>
      <c r="BI22" s="110">
        <v>0</v>
      </c>
      <c r="BJ22" s="111"/>
      <c r="BK22" s="111"/>
      <c r="BL22" s="110" t="s">
        <v>3755</v>
      </c>
      <c r="BM22" s="111">
        <v>1366</v>
      </c>
      <c r="BN22" s="111">
        <v>52232000</v>
      </c>
      <c r="BO22" s="110" t="s">
        <v>3755</v>
      </c>
      <c r="BP22" s="111">
        <v>1186</v>
      </c>
      <c r="BQ22" s="111">
        <v>53754000</v>
      </c>
      <c r="BR22" s="110">
        <v>0</v>
      </c>
      <c r="BS22" s="111"/>
      <c r="BT22" s="111"/>
      <c r="BU22" s="110">
        <v>0</v>
      </c>
      <c r="BV22" s="111"/>
      <c r="BW22" s="111"/>
      <c r="BX22" s="110">
        <v>0</v>
      </c>
      <c r="BY22" s="111"/>
      <c r="BZ22" s="111"/>
      <c r="CA22" s="110">
        <v>0</v>
      </c>
      <c r="CB22" s="111"/>
      <c r="CC22" s="111"/>
      <c r="CD22" s="110">
        <v>0</v>
      </c>
      <c r="CE22" s="111">
        <v>0</v>
      </c>
      <c r="CF22" s="111">
        <v>0</v>
      </c>
      <c r="CG22" s="110">
        <v>0</v>
      </c>
      <c r="CH22" s="111">
        <v>0</v>
      </c>
      <c r="CI22" s="111">
        <v>0</v>
      </c>
      <c r="CJ22" s="110">
        <v>0</v>
      </c>
      <c r="CK22" s="112">
        <v>0</v>
      </c>
      <c r="CL22" s="111">
        <v>0</v>
      </c>
      <c r="CM22" s="111">
        <v>0</v>
      </c>
      <c r="CN22" s="141" t="s">
        <v>3828</v>
      </c>
      <c r="CO22" s="114" t="s">
        <v>3829</v>
      </c>
      <c r="CP22" s="110" t="s">
        <v>3758</v>
      </c>
      <c r="CQ22" s="111">
        <v>21175264</v>
      </c>
      <c r="CR22" s="141" t="s">
        <v>3830</v>
      </c>
      <c r="CS22" s="141" t="s">
        <v>3831</v>
      </c>
      <c r="CT22" s="110" t="s">
        <v>3758</v>
      </c>
      <c r="CU22" s="111">
        <v>3082537</v>
      </c>
      <c r="CV22" s="141" t="s">
        <v>3832</v>
      </c>
      <c r="CW22" s="141" t="s">
        <v>3833</v>
      </c>
      <c r="CX22" s="110" t="s">
        <v>3758</v>
      </c>
      <c r="CY22" s="111">
        <v>2058721</v>
      </c>
      <c r="CZ22" s="110" t="s">
        <v>3755</v>
      </c>
      <c r="DA22" s="110" t="s">
        <v>3755</v>
      </c>
      <c r="DB22" s="110" t="s">
        <v>3755</v>
      </c>
      <c r="DC22" s="112">
        <v>0</v>
      </c>
      <c r="DD22" s="115" t="s">
        <v>3762</v>
      </c>
      <c r="DE22" s="109">
        <v>0</v>
      </c>
      <c r="DF22" s="144" t="s">
        <v>3716</v>
      </c>
    </row>
    <row r="23" spans="1:110" ht="35.1" customHeight="1" x14ac:dyDescent="0.2">
      <c r="A23" s="121" t="s">
        <v>1278</v>
      </c>
      <c r="B23" s="118" t="s">
        <v>1261</v>
      </c>
      <c r="C23" s="118" t="s">
        <v>1279</v>
      </c>
      <c r="D23" s="111">
        <v>5515</v>
      </c>
      <c r="E23" s="111">
        <v>154744370</v>
      </c>
      <c r="F23" s="111">
        <v>5500</v>
      </c>
      <c r="G23" s="111">
        <v>154550500</v>
      </c>
      <c r="H23" s="111">
        <v>1192</v>
      </c>
      <c r="I23" s="111">
        <v>24133000</v>
      </c>
      <c r="J23" s="111">
        <v>0</v>
      </c>
      <c r="K23" s="111">
        <v>0</v>
      </c>
      <c r="L23" s="111">
        <v>41053658</v>
      </c>
      <c r="M23" s="111">
        <v>4003047</v>
      </c>
      <c r="N23" s="111">
        <v>0</v>
      </c>
      <c r="O23" s="111">
        <v>694385</v>
      </c>
      <c r="P23" s="111">
        <v>26953491</v>
      </c>
      <c r="Q23" s="111">
        <v>0</v>
      </c>
      <c r="R23" s="111">
        <v>72704581</v>
      </c>
      <c r="S23" s="146">
        <v>0.2652998490348954</v>
      </c>
      <c r="T23" s="146">
        <v>2.5868773125639403E-2</v>
      </c>
      <c r="U23" s="146">
        <v>0</v>
      </c>
      <c r="V23" s="146">
        <v>4.4873038030398132E-3</v>
      </c>
      <c r="W23" s="146">
        <v>0.17418075371659725</v>
      </c>
      <c r="X23" s="146">
        <v>0</v>
      </c>
      <c r="Y23" s="146">
        <v>0.4698366796801719</v>
      </c>
      <c r="Z23" s="112">
        <v>0</v>
      </c>
      <c r="AA23" s="115" t="s">
        <v>3716</v>
      </c>
      <c r="AB23" s="115">
        <v>0</v>
      </c>
      <c r="AC23" s="110" t="s">
        <v>3716</v>
      </c>
      <c r="AD23" s="115">
        <v>0</v>
      </c>
      <c r="AE23" s="110">
        <v>0</v>
      </c>
      <c r="AF23" s="110" t="s">
        <v>3755</v>
      </c>
      <c r="AG23" s="115" t="s">
        <v>3756</v>
      </c>
      <c r="AH23" s="115" t="s">
        <v>3756</v>
      </c>
      <c r="AI23" s="113"/>
      <c r="AJ23" s="116"/>
      <c r="AK23" s="109">
        <v>0</v>
      </c>
      <c r="AL23" s="109">
        <v>0</v>
      </c>
      <c r="AM23" s="115">
        <v>0</v>
      </c>
      <c r="AN23" s="115">
        <v>0</v>
      </c>
      <c r="AO23" s="112">
        <v>0</v>
      </c>
      <c r="AP23" s="112">
        <v>0</v>
      </c>
      <c r="AQ23" s="145">
        <v>0</v>
      </c>
      <c r="AR23" s="109">
        <v>0</v>
      </c>
      <c r="AS23" s="115">
        <v>0</v>
      </c>
      <c r="AT23" s="115">
        <v>0</v>
      </c>
      <c r="AU23" s="112">
        <v>0</v>
      </c>
      <c r="AV23" s="112">
        <v>0</v>
      </c>
      <c r="AW23" s="145">
        <v>0</v>
      </c>
      <c r="AX23" s="109">
        <v>0</v>
      </c>
      <c r="AY23" s="115">
        <v>0</v>
      </c>
      <c r="AZ23" s="115">
        <v>0</v>
      </c>
      <c r="BA23" s="112">
        <v>0</v>
      </c>
      <c r="BB23" s="112">
        <v>0</v>
      </c>
      <c r="BC23" s="110" t="s">
        <v>3755</v>
      </c>
      <c r="BD23" s="111">
        <v>478</v>
      </c>
      <c r="BE23" s="111">
        <v>16341500</v>
      </c>
      <c r="BF23" s="110" t="s">
        <v>3755</v>
      </c>
      <c r="BG23" s="111">
        <v>89</v>
      </c>
      <c r="BH23" s="111">
        <v>2447500</v>
      </c>
      <c r="BI23" s="110" t="s">
        <v>3755</v>
      </c>
      <c r="BJ23" s="111">
        <v>316</v>
      </c>
      <c r="BK23" s="111">
        <v>11870500</v>
      </c>
      <c r="BL23" s="110">
        <v>0</v>
      </c>
      <c r="BM23" s="111"/>
      <c r="BN23" s="111"/>
      <c r="BO23" s="110" t="s">
        <v>3755</v>
      </c>
      <c r="BP23" s="111">
        <v>889</v>
      </c>
      <c r="BQ23" s="111">
        <v>20714000</v>
      </c>
      <c r="BR23" s="110">
        <v>0</v>
      </c>
      <c r="BS23" s="111"/>
      <c r="BT23" s="111"/>
      <c r="BU23" s="110">
        <v>0</v>
      </c>
      <c r="BV23" s="111"/>
      <c r="BW23" s="111"/>
      <c r="BX23" s="110" t="s">
        <v>3755</v>
      </c>
      <c r="BY23" s="111">
        <v>65</v>
      </c>
      <c r="BZ23" s="111">
        <v>1651500</v>
      </c>
      <c r="CA23" s="110">
        <v>0</v>
      </c>
      <c r="CB23" s="111"/>
      <c r="CC23" s="111"/>
      <c r="CD23" s="110" t="s">
        <v>3755</v>
      </c>
      <c r="CE23" s="111">
        <v>540</v>
      </c>
      <c r="CF23" s="111">
        <v>12071425</v>
      </c>
      <c r="CG23" s="110" t="s">
        <v>3755</v>
      </c>
      <c r="CH23" s="111">
        <v>3135</v>
      </c>
      <c r="CI23" s="111">
        <v>89507945</v>
      </c>
      <c r="CJ23" s="110" t="s">
        <v>3755</v>
      </c>
      <c r="CK23" s="112" t="s">
        <v>3834</v>
      </c>
      <c r="CL23" s="111">
        <v>3</v>
      </c>
      <c r="CM23" s="111">
        <v>140000</v>
      </c>
      <c r="CN23" s="141" t="s">
        <v>3835</v>
      </c>
      <c r="CO23" s="114" t="s">
        <v>3836</v>
      </c>
      <c r="CP23" s="110" t="s">
        <v>3760</v>
      </c>
      <c r="CQ23" s="111">
        <v>10989000</v>
      </c>
      <c r="CR23" s="141" t="s">
        <v>3837</v>
      </c>
      <c r="CS23" s="141" t="s">
        <v>3838</v>
      </c>
      <c r="CT23" s="110" t="s">
        <v>3760</v>
      </c>
      <c r="CU23" s="111">
        <v>10000000</v>
      </c>
      <c r="CV23" s="141" t="s">
        <v>3839</v>
      </c>
      <c r="CW23" s="141" t="s">
        <v>3840</v>
      </c>
      <c r="CX23" s="110" t="s">
        <v>3762</v>
      </c>
      <c r="CY23" s="111">
        <v>3651420</v>
      </c>
      <c r="CZ23" s="110" t="s">
        <v>3755</v>
      </c>
      <c r="DA23" s="110" t="s">
        <v>3755</v>
      </c>
      <c r="DB23" s="110">
        <v>0</v>
      </c>
      <c r="DC23" s="112" t="s">
        <v>3841</v>
      </c>
      <c r="DD23" s="115" t="s">
        <v>3762</v>
      </c>
      <c r="DE23" s="109">
        <v>0</v>
      </c>
      <c r="DF23" s="144" t="s">
        <v>3716</v>
      </c>
    </row>
    <row r="24" spans="1:110" ht="35.1" customHeight="1" x14ac:dyDescent="0.2">
      <c r="A24" s="121" t="s">
        <v>1280</v>
      </c>
      <c r="B24" s="118" t="s">
        <v>1261</v>
      </c>
      <c r="C24" s="118" t="s">
        <v>1281</v>
      </c>
      <c r="D24" s="111">
        <v>11086</v>
      </c>
      <c r="E24" s="111">
        <v>444580833</v>
      </c>
      <c r="F24" s="111">
        <v>11073</v>
      </c>
      <c r="G24" s="111">
        <v>444416333</v>
      </c>
      <c r="H24" s="111">
        <v>2691</v>
      </c>
      <c r="I24" s="111">
        <v>91304733</v>
      </c>
      <c r="J24" s="111">
        <v>0</v>
      </c>
      <c r="K24" s="111">
        <v>0</v>
      </c>
      <c r="L24" s="111">
        <v>130766264</v>
      </c>
      <c r="M24" s="111">
        <v>17349490</v>
      </c>
      <c r="N24" s="111">
        <v>0</v>
      </c>
      <c r="O24" s="111">
        <v>6248563</v>
      </c>
      <c r="P24" s="111">
        <v>62976494</v>
      </c>
      <c r="Q24" s="111">
        <v>0</v>
      </c>
      <c r="R24" s="111">
        <v>217340811</v>
      </c>
      <c r="S24" s="146">
        <v>0.29413383190093578</v>
      </c>
      <c r="T24" s="146">
        <v>3.9024376923599856E-2</v>
      </c>
      <c r="U24" s="146">
        <v>0</v>
      </c>
      <c r="V24" s="146">
        <v>1.4054953646640903E-2</v>
      </c>
      <c r="W24" s="146">
        <v>0.14165364164496</v>
      </c>
      <c r="X24" s="146">
        <v>0</v>
      </c>
      <c r="Y24" s="146">
        <v>0.48886680411613698</v>
      </c>
      <c r="Z24" s="112">
        <v>0</v>
      </c>
      <c r="AA24" s="115" t="s">
        <v>3716</v>
      </c>
      <c r="AB24" s="115">
        <v>0</v>
      </c>
      <c r="AC24" s="110" t="s">
        <v>3716</v>
      </c>
      <c r="AD24" s="115">
        <v>0</v>
      </c>
      <c r="AE24" s="110">
        <v>0</v>
      </c>
      <c r="AF24" s="110" t="s">
        <v>3755</v>
      </c>
      <c r="AG24" s="115" t="s">
        <v>3756</v>
      </c>
      <c r="AH24" s="115" t="s">
        <v>3756</v>
      </c>
      <c r="AI24" s="113"/>
      <c r="AJ24" s="116"/>
      <c r="AK24" s="109">
        <v>0</v>
      </c>
      <c r="AL24" s="109">
        <v>0</v>
      </c>
      <c r="AM24" s="115">
        <v>0</v>
      </c>
      <c r="AN24" s="115">
        <v>0</v>
      </c>
      <c r="AO24" s="112">
        <v>0</v>
      </c>
      <c r="AP24" s="112">
        <v>0</v>
      </c>
      <c r="AQ24" s="145">
        <v>0</v>
      </c>
      <c r="AR24" s="109">
        <v>0</v>
      </c>
      <c r="AS24" s="115">
        <v>0</v>
      </c>
      <c r="AT24" s="115">
        <v>0</v>
      </c>
      <c r="AU24" s="112">
        <v>0</v>
      </c>
      <c r="AV24" s="112">
        <v>0</v>
      </c>
      <c r="AW24" s="145">
        <v>0</v>
      </c>
      <c r="AX24" s="109">
        <v>0</v>
      </c>
      <c r="AY24" s="115">
        <v>0</v>
      </c>
      <c r="AZ24" s="115">
        <v>0</v>
      </c>
      <c r="BA24" s="112">
        <v>0</v>
      </c>
      <c r="BB24" s="112">
        <v>0</v>
      </c>
      <c r="BC24" s="110" t="s">
        <v>3755</v>
      </c>
      <c r="BD24" s="111">
        <v>467</v>
      </c>
      <c r="BE24" s="111">
        <v>17901000</v>
      </c>
      <c r="BF24" s="110" t="s">
        <v>3755</v>
      </c>
      <c r="BG24" s="111">
        <v>215</v>
      </c>
      <c r="BH24" s="111">
        <v>11279000</v>
      </c>
      <c r="BI24" s="110" t="s">
        <v>3755</v>
      </c>
      <c r="BJ24" s="111">
        <v>1583</v>
      </c>
      <c r="BK24" s="111">
        <v>64003465</v>
      </c>
      <c r="BL24" s="110" t="s">
        <v>3755</v>
      </c>
      <c r="BM24" s="111">
        <v>83</v>
      </c>
      <c r="BN24" s="111">
        <v>2403000</v>
      </c>
      <c r="BO24" s="110" t="s">
        <v>3755</v>
      </c>
      <c r="BP24" s="111">
        <v>237</v>
      </c>
      <c r="BQ24" s="111">
        <v>9969000</v>
      </c>
      <c r="BR24" s="110" t="s">
        <v>3755</v>
      </c>
      <c r="BS24" s="111">
        <v>2309</v>
      </c>
      <c r="BT24" s="111">
        <v>88330768</v>
      </c>
      <c r="BU24" s="110" t="s">
        <v>3755</v>
      </c>
      <c r="BV24" s="111">
        <v>354</v>
      </c>
      <c r="BW24" s="111">
        <v>14597500</v>
      </c>
      <c r="BX24" s="110" t="s">
        <v>3755</v>
      </c>
      <c r="BY24" s="111">
        <v>248</v>
      </c>
      <c r="BZ24" s="111">
        <v>8639000</v>
      </c>
      <c r="CA24" s="110" t="s">
        <v>3755</v>
      </c>
      <c r="CB24" s="111">
        <v>629</v>
      </c>
      <c r="CC24" s="111">
        <v>22713000</v>
      </c>
      <c r="CD24" s="110"/>
      <c r="CE24" s="111"/>
      <c r="CF24" s="111"/>
      <c r="CG24" s="110" t="s">
        <v>3755</v>
      </c>
      <c r="CH24" s="111">
        <v>3465</v>
      </c>
      <c r="CI24" s="111">
        <v>130525000</v>
      </c>
      <c r="CJ24" s="110" t="s">
        <v>3755</v>
      </c>
      <c r="CK24" s="112" t="s">
        <v>3842</v>
      </c>
      <c r="CL24" s="111">
        <v>1496</v>
      </c>
      <c r="CM24" s="111">
        <v>74220100</v>
      </c>
      <c r="CN24" s="141" t="s">
        <v>3843</v>
      </c>
      <c r="CO24" s="114" t="s">
        <v>3844</v>
      </c>
      <c r="CP24" s="110" t="s">
        <v>3765</v>
      </c>
      <c r="CQ24" s="111">
        <v>68819588</v>
      </c>
      <c r="CR24" s="141" t="s">
        <v>3770</v>
      </c>
      <c r="CS24" s="141" t="s">
        <v>3845</v>
      </c>
      <c r="CT24" s="110" t="s">
        <v>3765</v>
      </c>
      <c r="CU24" s="111">
        <v>37983700</v>
      </c>
      <c r="CV24" s="141" t="s">
        <v>3846</v>
      </c>
      <c r="CW24" s="141" t="s">
        <v>3847</v>
      </c>
      <c r="CX24" s="110" t="s">
        <v>3764</v>
      </c>
      <c r="CY24" s="111">
        <v>36294192</v>
      </c>
      <c r="CZ24" s="110" t="s">
        <v>3755</v>
      </c>
      <c r="DA24" s="110" t="s">
        <v>3755</v>
      </c>
      <c r="DB24" s="110" t="s">
        <v>3755</v>
      </c>
      <c r="DC24" s="112">
        <v>0</v>
      </c>
      <c r="DD24" s="115" t="s">
        <v>3716</v>
      </c>
      <c r="DE24" s="109" t="s">
        <v>3848</v>
      </c>
      <c r="DF24" s="144" t="s">
        <v>3716</v>
      </c>
    </row>
    <row r="25" spans="1:110" ht="35.1" customHeight="1" x14ac:dyDescent="0.2">
      <c r="A25" s="121" t="s">
        <v>1282</v>
      </c>
      <c r="B25" s="118" t="s">
        <v>1261</v>
      </c>
      <c r="C25" s="118" t="s">
        <v>1283</v>
      </c>
      <c r="D25" s="111">
        <v>4020</v>
      </c>
      <c r="E25" s="111">
        <v>62717294</v>
      </c>
      <c r="F25" s="111">
        <v>4016</v>
      </c>
      <c r="G25" s="111">
        <v>56097294</v>
      </c>
      <c r="H25" s="111">
        <v>728</v>
      </c>
      <c r="I25" s="111">
        <v>10536294</v>
      </c>
      <c r="J25" s="111">
        <v>0</v>
      </c>
      <c r="K25" s="111">
        <v>0</v>
      </c>
      <c r="L25" s="111">
        <v>15773530</v>
      </c>
      <c r="M25" s="111">
        <v>4003977</v>
      </c>
      <c r="N25" s="111">
        <v>78243</v>
      </c>
      <c r="O25" s="111">
        <v>469833</v>
      </c>
      <c r="P25" s="111">
        <v>9073863</v>
      </c>
      <c r="Q25" s="111">
        <v>0</v>
      </c>
      <c r="R25" s="111">
        <v>29399446</v>
      </c>
      <c r="S25" s="146">
        <v>0.25150208170652261</v>
      </c>
      <c r="T25" s="146">
        <v>6.3841673398727955E-2</v>
      </c>
      <c r="U25" s="146">
        <v>1.2475506357146084E-3</v>
      </c>
      <c r="V25" s="146">
        <v>7.4912830263372011E-3</v>
      </c>
      <c r="W25" s="146">
        <v>0.14467880262818736</v>
      </c>
      <c r="X25" s="146">
        <v>0</v>
      </c>
      <c r="Y25" s="146">
        <v>0.46876139139548972</v>
      </c>
      <c r="Z25" s="112">
        <v>0</v>
      </c>
      <c r="AA25" s="115" t="s">
        <v>3716</v>
      </c>
      <c r="AB25" s="115">
        <v>0</v>
      </c>
      <c r="AC25" s="110" t="s">
        <v>3716</v>
      </c>
      <c r="AD25" s="115">
        <v>0</v>
      </c>
      <c r="AE25" s="110">
        <v>0</v>
      </c>
      <c r="AF25" s="110" t="s">
        <v>3755</v>
      </c>
      <c r="AG25" s="115" t="s">
        <v>3756</v>
      </c>
      <c r="AH25" s="115" t="s">
        <v>3756</v>
      </c>
      <c r="AI25" s="113"/>
      <c r="AJ25" s="116"/>
      <c r="AK25" s="109">
        <v>0</v>
      </c>
      <c r="AL25" s="109">
        <v>0</v>
      </c>
      <c r="AM25" s="115">
        <v>0</v>
      </c>
      <c r="AN25" s="115">
        <v>0</v>
      </c>
      <c r="AO25" s="112">
        <v>0</v>
      </c>
      <c r="AP25" s="112">
        <v>0</v>
      </c>
      <c r="AQ25" s="145">
        <v>0</v>
      </c>
      <c r="AR25" s="109">
        <v>0</v>
      </c>
      <c r="AS25" s="115">
        <v>0</v>
      </c>
      <c r="AT25" s="115">
        <v>0</v>
      </c>
      <c r="AU25" s="112" t="s">
        <v>3849</v>
      </c>
      <c r="AV25" s="112">
        <v>0</v>
      </c>
      <c r="AW25" s="145">
        <v>0</v>
      </c>
      <c r="AX25" s="109">
        <v>0</v>
      </c>
      <c r="AY25" s="115">
        <v>0</v>
      </c>
      <c r="AZ25" s="115">
        <v>0</v>
      </c>
      <c r="BA25" s="112">
        <v>0</v>
      </c>
      <c r="BB25" s="112">
        <v>0</v>
      </c>
      <c r="BC25" s="110" t="s">
        <v>3755</v>
      </c>
      <c r="BD25" s="111">
        <v>83</v>
      </c>
      <c r="BE25" s="111">
        <v>1127500</v>
      </c>
      <c r="BF25" s="110" t="s">
        <v>3755</v>
      </c>
      <c r="BG25" s="111">
        <v>188</v>
      </c>
      <c r="BH25" s="111">
        <v>4040500</v>
      </c>
      <c r="BI25" s="110" t="s">
        <v>3755</v>
      </c>
      <c r="BJ25" s="111">
        <v>243</v>
      </c>
      <c r="BK25" s="111">
        <v>3626294</v>
      </c>
      <c r="BL25" s="110" t="s">
        <v>3755</v>
      </c>
      <c r="BM25" s="111">
        <v>189</v>
      </c>
      <c r="BN25" s="111">
        <v>2615000</v>
      </c>
      <c r="BO25" s="110" t="s">
        <v>3755</v>
      </c>
      <c r="BP25" s="111">
        <v>236</v>
      </c>
      <c r="BQ25" s="111">
        <v>3466000</v>
      </c>
      <c r="BR25" s="110" t="s">
        <v>3755</v>
      </c>
      <c r="BS25" s="111">
        <v>773</v>
      </c>
      <c r="BT25" s="111">
        <v>11207500</v>
      </c>
      <c r="BU25" s="110">
        <v>0</v>
      </c>
      <c r="BV25" s="111"/>
      <c r="BW25" s="111"/>
      <c r="BX25" s="110" t="s">
        <v>3755</v>
      </c>
      <c r="BY25" s="111">
        <v>161</v>
      </c>
      <c r="BZ25" s="111">
        <v>2158000</v>
      </c>
      <c r="CA25" s="110">
        <v>0</v>
      </c>
      <c r="CB25" s="111"/>
      <c r="CC25" s="111"/>
      <c r="CD25" s="110">
        <v>0</v>
      </c>
      <c r="CE25" s="111"/>
      <c r="CF25" s="111"/>
      <c r="CG25" s="110" t="s">
        <v>3755</v>
      </c>
      <c r="CH25" s="111">
        <v>1816</v>
      </c>
      <c r="CI25" s="111">
        <v>32851500</v>
      </c>
      <c r="CJ25" s="110" t="s">
        <v>3755</v>
      </c>
      <c r="CK25" s="112" t="s">
        <v>3850</v>
      </c>
      <c r="CL25" s="111">
        <v>329</v>
      </c>
      <c r="CM25" s="111">
        <v>1625000</v>
      </c>
      <c r="CN25" s="141" t="s">
        <v>3851</v>
      </c>
      <c r="CO25" s="114" t="s">
        <v>3852</v>
      </c>
      <c r="CP25" s="110" t="s">
        <v>3765</v>
      </c>
      <c r="CQ25" s="111">
        <v>19363500</v>
      </c>
      <c r="CR25" s="141" t="s">
        <v>3853</v>
      </c>
      <c r="CS25" s="141" t="s">
        <v>3854</v>
      </c>
      <c r="CT25" s="110" t="s">
        <v>3768</v>
      </c>
      <c r="CU25" s="111">
        <v>7978400</v>
      </c>
      <c r="CV25" s="141" t="s">
        <v>3855</v>
      </c>
      <c r="CW25" s="141" t="s">
        <v>3856</v>
      </c>
      <c r="CX25" s="110" t="s">
        <v>3763</v>
      </c>
      <c r="CY25" s="111">
        <v>1468000</v>
      </c>
      <c r="CZ25" s="110" t="s">
        <v>3755</v>
      </c>
      <c r="DA25" s="110" t="s">
        <v>3755</v>
      </c>
      <c r="DB25" s="110">
        <v>0</v>
      </c>
      <c r="DC25" s="112" t="s">
        <v>3857</v>
      </c>
      <c r="DD25" s="115" t="s">
        <v>3762</v>
      </c>
      <c r="DE25" s="109">
        <v>0</v>
      </c>
      <c r="DF25" s="144" t="s">
        <v>3716</v>
      </c>
    </row>
    <row r="26" spans="1:110" ht="35.1" customHeight="1" x14ac:dyDescent="0.2">
      <c r="A26" s="121" t="s">
        <v>1284</v>
      </c>
      <c r="B26" s="118" t="s">
        <v>1261</v>
      </c>
      <c r="C26" s="118" t="s">
        <v>1285</v>
      </c>
      <c r="D26" s="111">
        <v>1287</v>
      </c>
      <c r="E26" s="111">
        <v>37104000</v>
      </c>
      <c r="F26" s="111">
        <v>1287</v>
      </c>
      <c r="G26" s="111">
        <v>37104000</v>
      </c>
      <c r="H26" s="111">
        <v>259</v>
      </c>
      <c r="I26" s="111">
        <v>6300000</v>
      </c>
      <c r="J26" s="111">
        <v>0</v>
      </c>
      <c r="K26" s="111">
        <v>0</v>
      </c>
      <c r="L26" s="111">
        <v>9740542</v>
      </c>
      <c r="M26" s="111">
        <v>1385384</v>
      </c>
      <c r="N26" s="111">
        <v>0</v>
      </c>
      <c r="O26" s="111">
        <v>947471</v>
      </c>
      <c r="P26" s="111">
        <v>4829268</v>
      </c>
      <c r="Q26" s="111">
        <v>0</v>
      </c>
      <c r="R26" s="111">
        <v>16902665</v>
      </c>
      <c r="S26" s="146">
        <v>0.26251999784389823</v>
      </c>
      <c r="T26" s="146">
        <v>3.7337861147046139E-2</v>
      </c>
      <c r="U26" s="146">
        <v>0</v>
      </c>
      <c r="V26" s="146">
        <v>2.5535548727899957E-2</v>
      </c>
      <c r="W26" s="146">
        <v>0.13015491591203104</v>
      </c>
      <c r="X26" s="146">
        <v>0</v>
      </c>
      <c r="Y26" s="146">
        <v>0.45554832363087538</v>
      </c>
      <c r="Z26" s="112">
        <v>0</v>
      </c>
      <c r="AA26" s="115" t="s">
        <v>3716</v>
      </c>
      <c r="AB26" s="115">
        <v>0</v>
      </c>
      <c r="AC26" s="110" t="s">
        <v>3716</v>
      </c>
      <c r="AD26" s="115">
        <v>0</v>
      </c>
      <c r="AE26" s="110">
        <v>0</v>
      </c>
      <c r="AF26" s="110" t="s">
        <v>3755</v>
      </c>
      <c r="AG26" s="115" t="s">
        <v>3756</v>
      </c>
      <c r="AH26" s="115" t="s">
        <v>3756</v>
      </c>
      <c r="AI26" s="113"/>
      <c r="AJ26" s="116"/>
      <c r="AK26" s="109">
        <v>0</v>
      </c>
      <c r="AL26" s="109">
        <v>0</v>
      </c>
      <c r="AM26" s="115">
        <v>0</v>
      </c>
      <c r="AN26" s="115">
        <v>0</v>
      </c>
      <c r="AO26" s="112">
        <v>0</v>
      </c>
      <c r="AP26" s="112">
        <v>0</v>
      </c>
      <c r="AQ26" s="145">
        <v>0</v>
      </c>
      <c r="AR26" s="109">
        <v>0</v>
      </c>
      <c r="AS26" s="115">
        <v>0</v>
      </c>
      <c r="AT26" s="115">
        <v>0</v>
      </c>
      <c r="AU26" s="112">
        <v>0</v>
      </c>
      <c r="AV26" s="112">
        <v>0</v>
      </c>
      <c r="AW26" s="145">
        <v>0</v>
      </c>
      <c r="AX26" s="109">
        <v>0</v>
      </c>
      <c r="AY26" s="115">
        <v>0</v>
      </c>
      <c r="AZ26" s="115">
        <v>0</v>
      </c>
      <c r="BA26" s="112">
        <v>0</v>
      </c>
      <c r="BB26" s="112">
        <v>0</v>
      </c>
      <c r="BC26" s="110" t="s">
        <v>3755</v>
      </c>
      <c r="BD26" s="111">
        <v>99</v>
      </c>
      <c r="BE26" s="111">
        <v>3221000</v>
      </c>
      <c r="BF26" s="110">
        <v>0</v>
      </c>
      <c r="BG26" s="111"/>
      <c r="BH26" s="111"/>
      <c r="BI26" s="110" t="s">
        <v>3755</v>
      </c>
      <c r="BJ26" s="111">
        <v>108</v>
      </c>
      <c r="BK26" s="111">
        <v>3284000</v>
      </c>
      <c r="BL26" s="110">
        <v>0</v>
      </c>
      <c r="BM26" s="111"/>
      <c r="BN26" s="111"/>
      <c r="BO26" s="110" t="s">
        <v>3755</v>
      </c>
      <c r="BP26" s="111">
        <v>341</v>
      </c>
      <c r="BQ26" s="111">
        <v>9678000</v>
      </c>
      <c r="BR26" s="110">
        <v>0</v>
      </c>
      <c r="BS26" s="111"/>
      <c r="BT26" s="111"/>
      <c r="BU26" s="110" t="s">
        <v>3755</v>
      </c>
      <c r="BV26" s="111">
        <v>79</v>
      </c>
      <c r="BW26" s="111">
        <v>2905000</v>
      </c>
      <c r="BX26" s="110">
        <v>0</v>
      </c>
      <c r="BY26" s="111"/>
      <c r="BZ26" s="111"/>
      <c r="CA26" s="110">
        <v>0</v>
      </c>
      <c r="CB26" s="111"/>
      <c r="CC26" s="111"/>
      <c r="CD26" s="110">
        <v>0</v>
      </c>
      <c r="CE26" s="111"/>
      <c r="CF26" s="111"/>
      <c r="CG26" s="110" t="s">
        <v>3755</v>
      </c>
      <c r="CH26" s="111">
        <v>607</v>
      </c>
      <c r="CI26" s="111">
        <v>16109000</v>
      </c>
      <c r="CJ26" s="110" t="s">
        <v>3755</v>
      </c>
      <c r="CK26" s="112" t="s">
        <v>3858</v>
      </c>
      <c r="CL26" s="111">
        <v>53</v>
      </c>
      <c r="CM26" s="111">
        <v>1907000</v>
      </c>
      <c r="CN26" s="141" t="s">
        <v>3859</v>
      </c>
      <c r="CO26" s="114" t="s">
        <v>3860</v>
      </c>
      <c r="CP26" s="110" t="s">
        <v>3763</v>
      </c>
      <c r="CQ26" s="111">
        <v>1642000</v>
      </c>
      <c r="CR26" s="141" t="s">
        <v>3859</v>
      </c>
      <c r="CS26" s="141" t="s">
        <v>3861</v>
      </c>
      <c r="CT26" s="110" t="s">
        <v>3716</v>
      </c>
      <c r="CU26" s="111">
        <v>1610500</v>
      </c>
      <c r="CV26" s="141" t="s">
        <v>3859</v>
      </c>
      <c r="CW26" s="141" t="s">
        <v>3862</v>
      </c>
      <c r="CX26" s="110" t="s">
        <v>3768</v>
      </c>
      <c r="CY26" s="111">
        <v>8054500</v>
      </c>
      <c r="CZ26" s="110" t="s">
        <v>3755</v>
      </c>
      <c r="DA26" s="110" t="s">
        <v>3755</v>
      </c>
      <c r="DB26" s="110" t="s">
        <v>3755</v>
      </c>
      <c r="DC26" s="112">
        <v>0</v>
      </c>
      <c r="DD26" s="115" t="s">
        <v>3762</v>
      </c>
      <c r="DE26" s="109">
        <v>0</v>
      </c>
      <c r="DF26" s="144" t="s">
        <v>3716</v>
      </c>
    </row>
    <row r="27" spans="1:110" ht="35.1" customHeight="1" x14ac:dyDescent="0.2">
      <c r="A27" s="121" t="s">
        <v>1286</v>
      </c>
      <c r="B27" s="118" t="s">
        <v>1261</v>
      </c>
      <c r="C27" s="118" t="s">
        <v>1287</v>
      </c>
      <c r="D27" s="111">
        <v>12979</v>
      </c>
      <c r="E27" s="111">
        <v>208157254</v>
      </c>
      <c r="F27" s="111">
        <v>12979</v>
      </c>
      <c r="G27" s="111">
        <v>208157254</v>
      </c>
      <c r="H27" s="111">
        <v>3573</v>
      </c>
      <c r="I27" s="111">
        <v>59185254</v>
      </c>
      <c r="J27" s="111">
        <v>0</v>
      </c>
      <c r="K27" s="111">
        <v>0</v>
      </c>
      <c r="L27" s="111">
        <v>59783201</v>
      </c>
      <c r="M27" s="111">
        <v>13555434</v>
      </c>
      <c r="N27" s="111">
        <v>0</v>
      </c>
      <c r="O27" s="111">
        <v>411163</v>
      </c>
      <c r="P27" s="111">
        <v>29475173</v>
      </c>
      <c r="Q27" s="111">
        <v>0</v>
      </c>
      <c r="R27" s="111">
        <v>103224971</v>
      </c>
      <c r="S27" s="146">
        <v>0.28720210250275496</v>
      </c>
      <c r="T27" s="146">
        <v>6.5121122322261221E-2</v>
      </c>
      <c r="U27" s="146">
        <v>0</v>
      </c>
      <c r="V27" s="146">
        <v>1.9752518449345034E-3</v>
      </c>
      <c r="W27" s="146">
        <v>0.14160050843099611</v>
      </c>
      <c r="X27" s="146">
        <v>0</v>
      </c>
      <c r="Y27" s="146">
        <v>0.49589898510094682</v>
      </c>
      <c r="Z27" s="112">
        <v>0</v>
      </c>
      <c r="AA27" s="115" t="s">
        <v>3716</v>
      </c>
      <c r="AB27" s="115">
        <v>0</v>
      </c>
      <c r="AC27" s="110" t="s">
        <v>3716</v>
      </c>
      <c r="AD27" s="115">
        <v>0</v>
      </c>
      <c r="AE27" s="110">
        <v>0</v>
      </c>
      <c r="AF27" s="110" t="s">
        <v>3755</v>
      </c>
      <c r="AG27" s="115" t="s">
        <v>3756</v>
      </c>
      <c r="AH27" s="115" t="s">
        <v>3756</v>
      </c>
      <c r="AI27" s="113"/>
      <c r="AJ27" s="116"/>
      <c r="AK27" s="109">
        <v>0</v>
      </c>
      <c r="AL27" s="109">
        <v>0</v>
      </c>
      <c r="AM27" s="115">
        <v>0</v>
      </c>
      <c r="AN27" s="115">
        <v>0</v>
      </c>
      <c r="AO27" s="112">
        <v>0</v>
      </c>
      <c r="AP27" s="112">
        <v>0</v>
      </c>
      <c r="AQ27" s="145">
        <v>0</v>
      </c>
      <c r="AR27" s="112">
        <v>0</v>
      </c>
      <c r="AS27" s="115">
        <v>0</v>
      </c>
      <c r="AT27" s="115">
        <v>0</v>
      </c>
      <c r="AU27" s="112">
        <v>0</v>
      </c>
      <c r="AV27" s="112">
        <v>0</v>
      </c>
      <c r="AW27" s="145">
        <v>0</v>
      </c>
      <c r="AX27" s="112">
        <v>0</v>
      </c>
      <c r="AY27" s="115">
        <v>0</v>
      </c>
      <c r="AZ27" s="115">
        <v>0</v>
      </c>
      <c r="BA27" s="112">
        <v>0</v>
      </c>
      <c r="BB27" s="112">
        <v>0</v>
      </c>
      <c r="BC27" s="110">
        <v>0</v>
      </c>
      <c r="BD27" s="111"/>
      <c r="BE27" s="111"/>
      <c r="BF27" s="110">
        <v>0</v>
      </c>
      <c r="BG27" s="111"/>
      <c r="BH27" s="111"/>
      <c r="BI27" s="110" t="s">
        <v>3755</v>
      </c>
      <c r="BJ27" s="111">
        <v>929</v>
      </c>
      <c r="BK27" s="111">
        <v>17285500</v>
      </c>
      <c r="BL27" s="110">
        <v>0</v>
      </c>
      <c r="BM27" s="111"/>
      <c r="BN27" s="111"/>
      <c r="BO27" s="110" t="s">
        <v>3755</v>
      </c>
      <c r="BP27" s="111">
        <v>1582</v>
      </c>
      <c r="BQ27" s="111">
        <v>26071983</v>
      </c>
      <c r="BR27" s="110">
        <v>0</v>
      </c>
      <c r="BS27" s="111"/>
      <c r="BT27" s="111"/>
      <c r="BU27" s="110" t="s">
        <v>3755</v>
      </c>
      <c r="BV27" s="111">
        <v>916</v>
      </c>
      <c r="BW27" s="111">
        <v>15736254</v>
      </c>
      <c r="BX27" s="110">
        <v>0</v>
      </c>
      <c r="BY27" s="111"/>
      <c r="BZ27" s="111"/>
      <c r="CA27" s="110" t="s">
        <v>3755</v>
      </c>
      <c r="CB27" s="111">
        <v>561</v>
      </c>
      <c r="CC27" s="111">
        <v>9430072</v>
      </c>
      <c r="CD27" s="110">
        <v>0</v>
      </c>
      <c r="CE27" s="111">
        <v>0</v>
      </c>
      <c r="CF27" s="111">
        <v>0</v>
      </c>
      <c r="CG27" s="110" t="s">
        <v>3755</v>
      </c>
      <c r="CH27" s="111">
        <v>8630</v>
      </c>
      <c r="CI27" s="111">
        <v>135935000</v>
      </c>
      <c r="CJ27" s="110" t="s">
        <v>3755</v>
      </c>
      <c r="CK27" s="112" t="s">
        <v>3863</v>
      </c>
      <c r="CL27" s="111">
        <v>379</v>
      </c>
      <c r="CM27" s="111">
        <v>5812000</v>
      </c>
      <c r="CN27" s="141" t="s">
        <v>3864</v>
      </c>
      <c r="CO27" s="114" t="s">
        <v>3865</v>
      </c>
      <c r="CP27" s="110" t="s">
        <v>3767</v>
      </c>
      <c r="CQ27" s="111">
        <v>14318000</v>
      </c>
      <c r="CR27" s="141" t="s">
        <v>3866</v>
      </c>
      <c r="CS27" s="141" t="s">
        <v>3867</v>
      </c>
      <c r="CT27" s="110" t="s">
        <v>3760</v>
      </c>
      <c r="CU27" s="111">
        <v>14048000</v>
      </c>
      <c r="CV27" s="141" t="s">
        <v>3868</v>
      </c>
      <c r="CW27" s="141" t="s">
        <v>3869</v>
      </c>
      <c r="CX27" s="110" t="s">
        <v>3771</v>
      </c>
      <c r="CY27" s="111">
        <v>11567000</v>
      </c>
      <c r="CZ27" s="110" t="s">
        <v>3755</v>
      </c>
      <c r="DA27" s="110" t="s">
        <v>3755</v>
      </c>
      <c r="DB27" s="110" t="s">
        <v>3755</v>
      </c>
      <c r="DC27" s="112">
        <v>0</v>
      </c>
      <c r="DD27" s="115" t="s">
        <v>3762</v>
      </c>
      <c r="DE27" s="109">
        <v>0</v>
      </c>
      <c r="DF27" s="144" t="s">
        <v>3716</v>
      </c>
    </row>
    <row r="28" spans="1:110" ht="35.1" customHeight="1" x14ac:dyDescent="0.2">
      <c r="A28" s="121" t="s">
        <v>1288</v>
      </c>
      <c r="B28" s="118" t="s">
        <v>1261</v>
      </c>
      <c r="C28" s="118" t="s">
        <v>1289</v>
      </c>
      <c r="D28" s="111">
        <v>1367</v>
      </c>
      <c r="E28" s="111">
        <v>50005000</v>
      </c>
      <c r="F28" s="111">
        <v>1335</v>
      </c>
      <c r="G28" s="111">
        <v>27065000</v>
      </c>
      <c r="H28" s="111">
        <v>333</v>
      </c>
      <c r="I28" s="111">
        <v>7100000</v>
      </c>
      <c r="J28" s="111">
        <v>0</v>
      </c>
      <c r="K28" s="111">
        <v>0</v>
      </c>
      <c r="L28" s="111">
        <v>7231291</v>
      </c>
      <c r="M28" s="111">
        <v>711103</v>
      </c>
      <c r="N28" s="111">
        <v>0</v>
      </c>
      <c r="O28" s="111">
        <v>340521</v>
      </c>
      <c r="P28" s="111">
        <v>5000173</v>
      </c>
      <c r="Q28" s="111">
        <v>14339</v>
      </c>
      <c r="R28" s="111">
        <v>13297427</v>
      </c>
      <c r="S28" s="146">
        <v>0.14461135886411358</v>
      </c>
      <c r="T28" s="146">
        <v>1.4220637936206379E-2</v>
      </c>
      <c r="U28" s="146">
        <v>0</v>
      </c>
      <c r="V28" s="146">
        <v>6.8097390260973903E-3</v>
      </c>
      <c r="W28" s="146">
        <v>9.9993460653934607E-2</v>
      </c>
      <c r="X28" s="146">
        <v>2.8675132486751323E-4</v>
      </c>
      <c r="Y28" s="146">
        <v>0.26592194780521949</v>
      </c>
      <c r="Z28" s="112" t="s">
        <v>3870</v>
      </c>
      <c r="AA28" s="115" t="s">
        <v>3716</v>
      </c>
      <c r="AB28" s="115">
        <v>0</v>
      </c>
      <c r="AC28" s="110" t="s">
        <v>3716</v>
      </c>
      <c r="AD28" s="115">
        <v>0</v>
      </c>
      <c r="AE28" s="110" t="s">
        <v>3755</v>
      </c>
      <c r="AF28" s="110" t="s">
        <v>3755</v>
      </c>
      <c r="AG28" s="115" t="s">
        <v>3716</v>
      </c>
      <c r="AH28" s="115" t="s">
        <v>3756</v>
      </c>
      <c r="AI28" s="116">
        <v>1</v>
      </c>
      <c r="AJ28" s="116">
        <v>1944000</v>
      </c>
      <c r="AK28" s="109" t="s">
        <v>3871</v>
      </c>
      <c r="AL28" s="109" t="s">
        <v>3872</v>
      </c>
      <c r="AM28" s="115" t="s">
        <v>3759</v>
      </c>
      <c r="AN28" s="115" t="s">
        <v>3764</v>
      </c>
      <c r="AO28" s="112">
        <v>1224000</v>
      </c>
      <c r="AP28" s="112">
        <v>1944000</v>
      </c>
      <c r="AQ28" s="145">
        <v>0</v>
      </c>
      <c r="AR28" s="109">
        <v>0</v>
      </c>
      <c r="AS28" s="115">
        <v>0</v>
      </c>
      <c r="AT28" s="115">
        <v>0</v>
      </c>
      <c r="AU28" s="112">
        <v>0</v>
      </c>
      <c r="AV28" s="112">
        <v>0</v>
      </c>
      <c r="AW28" s="145">
        <v>0</v>
      </c>
      <c r="AX28" s="109">
        <v>0</v>
      </c>
      <c r="AY28" s="115">
        <v>0</v>
      </c>
      <c r="AZ28" s="115">
        <v>0</v>
      </c>
      <c r="BA28" s="112">
        <v>0</v>
      </c>
      <c r="BB28" s="112">
        <v>0</v>
      </c>
      <c r="BC28" s="110" t="s">
        <v>3755</v>
      </c>
      <c r="BD28" s="111">
        <v>541</v>
      </c>
      <c r="BE28" s="111">
        <v>11346000</v>
      </c>
      <c r="BF28" s="110" t="s">
        <v>3755</v>
      </c>
      <c r="BG28" s="111">
        <v>36</v>
      </c>
      <c r="BH28" s="111">
        <v>571000</v>
      </c>
      <c r="BI28" s="110" t="s">
        <v>3755</v>
      </c>
      <c r="BJ28" s="111">
        <v>167</v>
      </c>
      <c r="BK28" s="111">
        <v>3508000</v>
      </c>
      <c r="BL28" s="110" t="s">
        <v>3755</v>
      </c>
      <c r="BM28" s="111">
        <v>118</v>
      </c>
      <c r="BN28" s="111">
        <v>2405000</v>
      </c>
      <c r="BO28" s="110" t="s">
        <v>3755</v>
      </c>
      <c r="BP28" s="111">
        <v>32</v>
      </c>
      <c r="BQ28" s="111">
        <v>2616000</v>
      </c>
      <c r="BR28" s="110" t="s">
        <v>3755</v>
      </c>
      <c r="BS28" s="111">
        <v>192</v>
      </c>
      <c r="BT28" s="111">
        <v>3958000</v>
      </c>
      <c r="BU28" s="110">
        <v>0</v>
      </c>
      <c r="BV28" s="111"/>
      <c r="BW28" s="111"/>
      <c r="BX28" s="110" t="s">
        <v>3755</v>
      </c>
      <c r="BY28" s="111">
        <v>23</v>
      </c>
      <c r="BZ28" s="111">
        <v>784000</v>
      </c>
      <c r="CA28" s="110">
        <v>0</v>
      </c>
      <c r="CB28" s="111"/>
      <c r="CC28" s="111"/>
      <c r="CD28" s="110">
        <v>0</v>
      </c>
      <c r="CE28" s="111"/>
      <c r="CF28" s="111"/>
      <c r="CG28" s="110">
        <v>0</v>
      </c>
      <c r="CH28" s="111"/>
      <c r="CI28" s="111"/>
      <c r="CJ28" s="110" t="s">
        <v>3755</v>
      </c>
      <c r="CK28" s="112" t="s">
        <v>3873</v>
      </c>
      <c r="CL28" s="111">
        <v>258</v>
      </c>
      <c r="CM28" s="111">
        <v>22873000</v>
      </c>
      <c r="CN28" s="141" t="s">
        <v>3874</v>
      </c>
      <c r="CO28" s="114" t="s">
        <v>3875</v>
      </c>
      <c r="CP28" s="110" t="s">
        <v>3764</v>
      </c>
      <c r="CQ28" s="111">
        <v>300963900</v>
      </c>
      <c r="CR28" s="141" t="s">
        <v>3876</v>
      </c>
      <c r="CS28" s="141" t="s">
        <v>3877</v>
      </c>
      <c r="CT28" s="110" t="s">
        <v>3765</v>
      </c>
      <c r="CU28" s="111">
        <v>8310000</v>
      </c>
      <c r="CV28" s="141" t="s">
        <v>3878</v>
      </c>
      <c r="CW28" s="141" t="s">
        <v>3879</v>
      </c>
      <c r="CX28" s="110" t="s">
        <v>3716</v>
      </c>
      <c r="CY28" s="111">
        <v>5660900</v>
      </c>
      <c r="CZ28" s="110" t="s">
        <v>3755</v>
      </c>
      <c r="DA28" s="110" t="s">
        <v>3755</v>
      </c>
      <c r="DB28" s="110" t="s">
        <v>3755</v>
      </c>
      <c r="DC28" s="112">
        <v>0</v>
      </c>
      <c r="DD28" s="115" t="s">
        <v>3762</v>
      </c>
      <c r="DE28" s="109">
        <v>0</v>
      </c>
      <c r="DF28" s="144" t="s">
        <v>3716</v>
      </c>
    </row>
    <row r="29" spans="1:110" ht="35.1" customHeight="1" x14ac:dyDescent="0.2">
      <c r="A29" s="121" t="s">
        <v>1290</v>
      </c>
      <c r="B29" s="118" t="s">
        <v>1261</v>
      </c>
      <c r="C29" s="118" t="s">
        <v>1291</v>
      </c>
      <c r="D29" s="111">
        <v>6998</v>
      </c>
      <c r="E29" s="111">
        <v>383403655</v>
      </c>
      <c r="F29" s="111">
        <v>6901</v>
      </c>
      <c r="G29" s="111">
        <v>381883815</v>
      </c>
      <c r="H29" s="111">
        <v>1170</v>
      </c>
      <c r="I29" s="111">
        <v>39604815</v>
      </c>
      <c r="J29" s="111">
        <v>0</v>
      </c>
      <c r="K29" s="111">
        <v>0</v>
      </c>
      <c r="L29" s="111">
        <v>102525608</v>
      </c>
      <c r="M29" s="111">
        <v>10638854</v>
      </c>
      <c r="N29" s="111">
        <v>285290</v>
      </c>
      <c r="O29" s="111">
        <v>2928153</v>
      </c>
      <c r="P29" s="111">
        <v>76620284</v>
      </c>
      <c r="Q29" s="111">
        <v>0</v>
      </c>
      <c r="R29" s="111">
        <v>192998189</v>
      </c>
      <c r="S29" s="146">
        <v>0.2674090522167818</v>
      </c>
      <c r="T29" s="146">
        <v>2.7748441782590727E-2</v>
      </c>
      <c r="U29" s="146">
        <v>7.4409827939694525E-4</v>
      </c>
      <c r="V29" s="146">
        <v>7.6372589614462595E-3</v>
      </c>
      <c r="W29" s="146">
        <v>0.19984234109609622</v>
      </c>
      <c r="X29" s="146">
        <v>0</v>
      </c>
      <c r="Y29" s="146">
        <v>0.50338119233631196</v>
      </c>
      <c r="Z29" s="112">
        <v>0</v>
      </c>
      <c r="AA29" s="115" t="s">
        <v>3716</v>
      </c>
      <c r="AB29" s="115">
        <v>0</v>
      </c>
      <c r="AC29" s="110" t="s">
        <v>3716</v>
      </c>
      <c r="AD29" s="115">
        <v>0</v>
      </c>
      <c r="AE29" s="110" t="s">
        <v>3755</v>
      </c>
      <c r="AF29" s="110" t="s">
        <v>3755</v>
      </c>
      <c r="AG29" s="115" t="s">
        <v>3716</v>
      </c>
      <c r="AH29" s="115" t="s">
        <v>3756</v>
      </c>
      <c r="AI29" s="116">
        <v>2</v>
      </c>
      <c r="AJ29" s="116">
        <v>9832455</v>
      </c>
      <c r="AK29" s="109" t="s">
        <v>3880</v>
      </c>
      <c r="AL29" s="109" t="s">
        <v>3881</v>
      </c>
      <c r="AM29" s="115" t="s">
        <v>3759</v>
      </c>
      <c r="AN29" s="115" t="s">
        <v>3768</v>
      </c>
      <c r="AO29" s="112">
        <v>1500000</v>
      </c>
      <c r="AP29" s="112">
        <v>8829455</v>
      </c>
      <c r="AQ29" s="145" t="s">
        <v>3882</v>
      </c>
      <c r="AR29" s="109" t="s">
        <v>3883</v>
      </c>
      <c r="AS29" s="115" t="s">
        <v>3759</v>
      </c>
      <c r="AT29" s="115" t="s">
        <v>3768</v>
      </c>
      <c r="AU29" s="112">
        <v>1000000</v>
      </c>
      <c r="AV29" s="112">
        <v>1003000</v>
      </c>
      <c r="AW29" s="145">
        <v>0</v>
      </c>
      <c r="AX29" s="109">
        <v>0</v>
      </c>
      <c r="AY29" s="115">
        <v>0</v>
      </c>
      <c r="AZ29" s="115">
        <v>0</v>
      </c>
      <c r="BA29" s="112">
        <v>0</v>
      </c>
      <c r="BB29" s="112">
        <v>0</v>
      </c>
      <c r="BC29" s="110" t="s">
        <v>3755</v>
      </c>
      <c r="BD29" s="111">
        <v>152</v>
      </c>
      <c r="BE29" s="111">
        <v>7915000</v>
      </c>
      <c r="BF29" s="110" t="s">
        <v>3755</v>
      </c>
      <c r="BG29" s="111">
        <v>378</v>
      </c>
      <c r="BH29" s="111">
        <v>27208500</v>
      </c>
      <c r="BI29" s="110" t="s">
        <v>3755</v>
      </c>
      <c r="BJ29" s="111">
        <v>602</v>
      </c>
      <c r="BK29" s="111">
        <v>34519000</v>
      </c>
      <c r="BL29" s="110" t="s">
        <v>3755</v>
      </c>
      <c r="BM29" s="111">
        <v>612</v>
      </c>
      <c r="BN29" s="111">
        <v>30071000</v>
      </c>
      <c r="BO29" s="110" t="s">
        <v>3755</v>
      </c>
      <c r="BP29" s="111">
        <v>174</v>
      </c>
      <c r="BQ29" s="111">
        <v>8396000</v>
      </c>
      <c r="BR29" s="110" t="s">
        <v>3755</v>
      </c>
      <c r="BS29" s="111">
        <v>2065</v>
      </c>
      <c r="BT29" s="111">
        <v>113955000</v>
      </c>
      <c r="BU29" s="110" t="s">
        <v>3755</v>
      </c>
      <c r="BV29" s="111">
        <v>109</v>
      </c>
      <c r="BW29" s="111">
        <v>5656000</v>
      </c>
      <c r="BX29" s="110">
        <v>0</v>
      </c>
      <c r="BY29" s="111"/>
      <c r="BZ29" s="111"/>
      <c r="CA29" s="110" t="s">
        <v>3755</v>
      </c>
      <c r="CB29" s="111">
        <v>412</v>
      </c>
      <c r="CC29" s="111">
        <v>21120500</v>
      </c>
      <c r="CD29" s="110">
        <v>0</v>
      </c>
      <c r="CE29" s="111"/>
      <c r="CF29" s="111"/>
      <c r="CG29" s="110" t="s">
        <v>3755</v>
      </c>
      <c r="CH29" s="111">
        <v>2420</v>
      </c>
      <c r="CI29" s="111">
        <v>130073155</v>
      </c>
      <c r="CJ29" s="110" t="s">
        <v>3755</v>
      </c>
      <c r="CK29" s="112" t="s">
        <v>3884</v>
      </c>
      <c r="CL29" s="111">
        <v>74</v>
      </c>
      <c r="CM29" s="111">
        <v>4489500</v>
      </c>
      <c r="CN29" s="141" t="s">
        <v>3885</v>
      </c>
      <c r="CO29" s="114" t="s">
        <v>3886</v>
      </c>
      <c r="CP29" s="110" t="s">
        <v>3771</v>
      </c>
      <c r="CQ29" s="111">
        <v>21499000</v>
      </c>
      <c r="CR29" s="141" t="s">
        <v>3887</v>
      </c>
      <c r="CS29" s="141" t="s">
        <v>3888</v>
      </c>
      <c r="CT29" s="110" t="s">
        <v>3763</v>
      </c>
      <c r="CU29" s="111">
        <v>1612000</v>
      </c>
      <c r="CV29" s="141" t="s">
        <v>3889</v>
      </c>
      <c r="CW29" s="141" t="s">
        <v>3890</v>
      </c>
      <c r="CX29" s="110" t="s">
        <v>3765</v>
      </c>
      <c r="CY29" s="111">
        <v>10100000</v>
      </c>
      <c r="CZ29" s="110" t="s">
        <v>3755</v>
      </c>
      <c r="DA29" s="110" t="s">
        <v>3755</v>
      </c>
      <c r="DB29" s="110">
        <v>0</v>
      </c>
      <c r="DC29" s="112" t="s">
        <v>3891</v>
      </c>
      <c r="DD29" s="115" t="s">
        <v>3762</v>
      </c>
      <c r="DE29" s="109">
        <v>0</v>
      </c>
      <c r="DF29" s="144" t="s">
        <v>3716</v>
      </c>
    </row>
    <row r="30" spans="1:110" ht="35.1" customHeight="1" x14ac:dyDescent="0.2">
      <c r="A30" s="121" t="s">
        <v>1292</v>
      </c>
      <c r="B30" s="118" t="s">
        <v>1261</v>
      </c>
      <c r="C30" s="118" t="s">
        <v>1293</v>
      </c>
      <c r="D30" s="111">
        <v>395651</v>
      </c>
      <c r="E30" s="111">
        <v>5145389300</v>
      </c>
      <c r="F30" s="111">
        <v>395651</v>
      </c>
      <c r="G30" s="111">
        <v>5145389300</v>
      </c>
      <c r="H30" s="111">
        <v>205465</v>
      </c>
      <c r="I30" s="111">
        <v>2616015700</v>
      </c>
      <c r="J30" s="111">
        <v>0</v>
      </c>
      <c r="K30" s="111">
        <v>0</v>
      </c>
      <c r="L30" s="111">
        <v>1526801772</v>
      </c>
      <c r="M30" s="111">
        <v>559013622</v>
      </c>
      <c r="N30" s="111">
        <v>0</v>
      </c>
      <c r="O30" s="111">
        <v>138801355</v>
      </c>
      <c r="P30" s="111">
        <v>326980490</v>
      </c>
      <c r="Q30" s="111">
        <v>0</v>
      </c>
      <c r="R30" s="111">
        <v>2551597239</v>
      </c>
      <c r="S30" s="146">
        <v>0.29673202220092459</v>
      </c>
      <c r="T30" s="146">
        <v>0.10864360098078488</v>
      </c>
      <c r="U30" s="146">
        <v>0</v>
      </c>
      <c r="V30" s="146">
        <v>2.6975870416646609E-2</v>
      </c>
      <c r="W30" s="146">
        <v>6.3548250858297545E-2</v>
      </c>
      <c r="X30" s="146">
        <v>0</v>
      </c>
      <c r="Y30" s="146">
        <v>0.49589974445665364</v>
      </c>
      <c r="Z30" s="112">
        <v>0</v>
      </c>
      <c r="AA30" s="115" t="s">
        <v>3716</v>
      </c>
      <c r="AB30" s="115">
        <v>0</v>
      </c>
      <c r="AC30" s="110" t="s">
        <v>3762</v>
      </c>
      <c r="AD30" s="115" t="s">
        <v>3892</v>
      </c>
      <c r="AE30" s="110">
        <v>0</v>
      </c>
      <c r="AF30" s="110">
        <v>0</v>
      </c>
      <c r="AG30" s="115" t="s">
        <v>3756</v>
      </c>
      <c r="AH30" s="115" t="s">
        <v>3756</v>
      </c>
      <c r="AI30" s="113"/>
      <c r="AJ30" s="116"/>
      <c r="AK30" s="109">
        <v>0</v>
      </c>
      <c r="AL30" s="109">
        <v>0</v>
      </c>
      <c r="AM30" s="115">
        <v>0</v>
      </c>
      <c r="AN30" s="115">
        <v>0</v>
      </c>
      <c r="AO30" s="112">
        <v>0</v>
      </c>
      <c r="AP30" s="112">
        <v>0</v>
      </c>
      <c r="AQ30" s="145">
        <v>0</v>
      </c>
      <c r="AR30" s="112">
        <v>0</v>
      </c>
      <c r="AS30" s="115">
        <v>0</v>
      </c>
      <c r="AT30" s="115">
        <v>0</v>
      </c>
      <c r="AU30" s="112">
        <v>0</v>
      </c>
      <c r="AV30" s="112">
        <v>0</v>
      </c>
      <c r="AW30" s="145">
        <v>0</v>
      </c>
      <c r="AX30" s="112">
        <v>0</v>
      </c>
      <c r="AY30" s="115">
        <v>0</v>
      </c>
      <c r="AZ30" s="115">
        <v>0</v>
      </c>
      <c r="BA30" s="112">
        <v>0</v>
      </c>
      <c r="BB30" s="112">
        <v>0</v>
      </c>
      <c r="BC30" s="110">
        <v>0</v>
      </c>
      <c r="BD30" s="111"/>
      <c r="BE30" s="111"/>
      <c r="BF30" s="110">
        <v>0</v>
      </c>
      <c r="BG30" s="111"/>
      <c r="BH30" s="111"/>
      <c r="BI30" s="110">
        <v>0</v>
      </c>
      <c r="BJ30" s="111"/>
      <c r="BK30" s="111"/>
      <c r="BL30" s="110">
        <v>0</v>
      </c>
      <c r="BM30" s="111"/>
      <c r="BN30" s="111"/>
      <c r="BO30" s="110">
        <v>0</v>
      </c>
      <c r="BP30" s="111"/>
      <c r="BQ30" s="111"/>
      <c r="BR30" s="110">
        <v>0</v>
      </c>
      <c r="BS30" s="111"/>
      <c r="BT30" s="111"/>
      <c r="BU30" s="110">
        <v>0</v>
      </c>
      <c r="BV30" s="111"/>
      <c r="BW30" s="111"/>
      <c r="BX30" s="110">
        <v>0</v>
      </c>
      <c r="BY30" s="111"/>
      <c r="BZ30" s="111"/>
      <c r="CA30" s="110">
        <v>0</v>
      </c>
      <c r="CB30" s="111"/>
      <c r="CC30" s="111"/>
      <c r="CD30" s="110">
        <v>0</v>
      </c>
      <c r="CE30" s="111">
        <v>0</v>
      </c>
      <c r="CF30" s="111">
        <v>0</v>
      </c>
      <c r="CG30" s="110">
        <v>0</v>
      </c>
      <c r="CH30" s="111">
        <v>0</v>
      </c>
      <c r="CI30" s="111">
        <v>0</v>
      </c>
      <c r="CJ30" s="110">
        <v>0</v>
      </c>
      <c r="CK30" s="112">
        <v>0</v>
      </c>
      <c r="CL30" s="111">
        <v>0</v>
      </c>
      <c r="CM30" s="111">
        <v>0</v>
      </c>
      <c r="CN30" s="141">
        <v>0</v>
      </c>
      <c r="CO30" s="114">
        <v>0</v>
      </c>
      <c r="CP30" s="110">
        <v>0</v>
      </c>
      <c r="CQ30" s="111">
        <v>0</v>
      </c>
      <c r="CR30" s="141">
        <v>0</v>
      </c>
      <c r="CS30" s="141">
        <v>0</v>
      </c>
      <c r="CT30" s="110">
        <v>0</v>
      </c>
      <c r="CU30" s="111">
        <v>0</v>
      </c>
      <c r="CV30" s="141">
        <v>0</v>
      </c>
      <c r="CW30" s="141">
        <v>0</v>
      </c>
      <c r="CX30" s="110">
        <v>0</v>
      </c>
      <c r="CY30" s="111">
        <v>0</v>
      </c>
      <c r="CZ30" s="110" t="s">
        <v>3755</v>
      </c>
      <c r="DA30" s="110" t="s">
        <v>3755</v>
      </c>
      <c r="DB30" s="110" t="s">
        <v>3755</v>
      </c>
      <c r="DC30" s="112">
        <v>0</v>
      </c>
      <c r="DD30" s="115" t="s">
        <v>3762</v>
      </c>
      <c r="DE30" s="109">
        <v>0</v>
      </c>
      <c r="DF30" s="144" t="s">
        <v>3716</v>
      </c>
    </row>
    <row r="31" spans="1:110" ht="35.1" customHeight="1" x14ac:dyDescent="0.2">
      <c r="A31" s="121" t="s">
        <v>1294</v>
      </c>
      <c r="B31" s="118" t="s">
        <v>1261</v>
      </c>
      <c r="C31" s="118" t="s">
        <v>1295</v>
      </c>
      <c r="D31" s="111">
        <v>49297</v>
      </c>
      <c r="E31" s="111">
        <v>1023799404</v>
      </c>
      <c r="F31" s="111">
        <v>49284</v>
      </c>
      <c r="G31" s="111">
        <v>1023671404</v>
      </c>
      <c r="H31" s="111">
        <v>21630</v>
      </c>
      <c r="I31" s="111">
        <v>410037086</v>
      </c>
      <c r="J31" s="111">
        <v>0</v>
      </c>
      <c r="K31" s="111">
        <v>0</v>
      </c>
      <c r="L31" s="111">
        <v>260257098</v>
      </c>
      <c r="M31" s="111">
        <v>47098363</v>
      </c>
      <c r="N31" s="111">
        <v>0</v>
      </c>
      <c r="O31" s="111">
        <v>5299922</v>
      </c>
      <c r="P31" s="111">
        <v>179582269</v>
      </c>
      <c r="Q31" s="111">
        <v>0</v>
      </c>
      <c r="R31" s="111">
        <v>492237652</v>
      </c>
      <c r="S31" s="146">
        <v>0.254</v>
      </c>
      <c r="T31" s="146">
        <v>4.5999999999999999E-2</v>
      </c>
      <c r="U31" s="146">
        <v>0</v>
      </c>
      <c r="V31" s="146">
        <v>5.1767191691000402E-3</v>
      </c>
      <c r="W31" s="146">
        <v>0.17499999999999999</v>
      </c>
      <c r="X31" s="146">
        <v>0</v>
      </c>
      <c r="Y31" s="146">
        <v>0.48099999999999998</v>
      </c>
      <c r="Z31" s="112">
        <v>0</v>
      </c>
      <c r="AA31" s="115" t="s">
        <v>3716</v>
      </c>
      <c r="AB31" s="115">
        <v>0</v>
      </c>
      <c r="AC31" s="110" t="s">
        <v>3716</v>
      </c>
      <c r="AD31" s="115">
        <v>0</v>
      </c>
      <c r="AE31" s="110" t="s">
        <v>3755</v>
      </c>
      <c r="AF31" s="110" t="s">
        <v>3755</v>
      </c>
      <c r="AG31" s="115" t="s">
        <v>3716</v>
      </c>
      <c r="AH31" s="115" t="s">
        <v>3756</v>
      </c>
      <c r="AI31" s="116">
        <v>1</v>
      </c>
      <c r="AJ31" s="116">
        <v>1030000</v>
      </c>
      <c r="AK31" s="109" t="s">
        <v>3893</v>
      </c>
      <c r="AL31" s="109" t="s">
        <v>3894</v>
      </c>
      <c r="AM31" s="115" t="s">
        <v>3757</v>
      </c>
      <c r="AN31" s="115" t="s">
        <v>3760</v>
      </c>
      <c r="AO31" s="112">
        <v>1000000</v>
      </c>
      <c r="AP31" s="112">
        <v>1030000</v>
      </c>
      <c r="AQ31" s="145" t="s">
        <v>3895</v>
      </c>
      <c r="AR31" s="112" t="s">
        <v>3896</v>
      </c>
      <c r="AS31" s="115" t="s">
        <v>3759</v>
      </c>
      <c r="AT31" s="115" t="s">
        <v>3767</v>
      </c>
      <c r="AU31" s="112">
        <v>0</v>
      </c>
      <c r="AV31" s="112">
        <v>37493000</v>
      </c>
      <c r="AW31" s="145" t="s">
        <v>3897</v>
      </c>
      <c r="AX31" s="112" t="s">
        <v>3898</v>
      </c>
      <c r="AY31" s="115" t="s">
        <v>3759</v>
      </c>
      <c r="AZ31" s="115" t="s">
        <v>3761</v>
      </c>
      <c r="BA31" s="112">
        <v>0</v>
      </c>
      <c r="BB31" s="112">
        <v>52939000</v>
      </c>
      <c r="BC31" s="110"/>
      <c r="BD31" s="111"/>
      <c r="BE31" s="111"/>
      <c r="BF31" s="110" t="s">
        <v>3755</v>
      </c>
      <c r="BG31" s="111">
        <v>3827</v>
      </c>
      <c r="BH31" s="111">
        <v>96160000</v>
      </c>
      <c r="BI31" s="110" t="s">
        <v>3755</v>
      </c>
      <c r="BJ31" s="111">
        <v>3749</v>
      </c>
      <c r="BK31" s="111">
        <v>73794000</v>
      </c>
      <c r="BL31" s="110" t="s">
        <v>3755</v>
      </c>
      <c r="BM31" s="111">
        <v>2446</v>
      </c>
      <c r="BN31" s="111">
        <v>48868000</v>
      </c>
      <c r="BO31" s="110" t="s">
        <v>3755</v>
      </c>
      <c r="BP31" s="111">
        <v>6</v>
      </c>
      <c r="BQ31" s="111">
        <v>1030000</v>
      </c>
      <c r="BR31" s="110" t="s">
        <v>3755</v>
      </c>
      <c r="BS31" s="111">
        <v>18926</v>
      </c>
      <c r="BT31" s="111">
        <v>361764000</v>
      </c>
      <c r="BU31" s="110" t="s">
        <v>3755</v>
      </c>
      <c r="BV31" s="111">
        <v>2157</v>
      </c>
      <c r="BW31" s="111">
        <v>37493000</v>
      </c>
      <c r="BX31" s="110" t="s">
        <v>3755</v>
      </c>
      <c r="BY31" s="111">
        <v>7554</v>
      </c>
      <c r="BZ31" s="111">
        <v>175734000</v>
      </c>
      <c r="CA31" s="110" t="s">
        <v>3755</v>
      </c>
      <c r="CB31" s="111">
        <v>690</v>
      </c>
      <c r="CC31" s="111">
        <v>14552000</v>
      </c>
      <c r="CD31" s="110" t="s">
        <v>3755</v>
      </c>
      <c r="CE31" s="111">
        <v>144</v>
      </c>
      <c r="CF31" s="111">
        <v>1574404</v>
      </c>
      <c r="CG31" s="110" t="s">
        <v>3755</v>
      </c>
      <c r="CH31" s="111">
        <v>9798</v>
      </c>
      <c r="CI31" s="111">
        <v>212830000</v>
      </c>
      <c r="CJ31" s="110">
        <v>0</v>
      </c>
      <c r="CK31" s="112">
        <v>0</v>
      </c>
      <c r="CL31" s="111">
        <v>0</v>
      </c>
      <c r="CM31" s="111">
        <v>0</v>
      </c>
      <c r="CN31" s="141">
        <v>0</v>
      </c>
      <c r="CO31" s="114">
        <v>0</v>
      </c>
      <c r="CP31" s="110">
        <v>0</v>
      </c>
      <c r="CQ31" s="111">
        <v>0</v>
      </c>
      <c r="CR31" s="141">
        <v>0</v>
      </c>
      <c r="CS31" s="141">
        <v>0</v>
      </c>
      <c r="CT31" s="110">
        <v>0</v>
      </c>
      <c r="CU31" s="111">
        <v>0</v>
      </c>
      <c r="CV31" s="141">
        <v>0</v>
      </c>
      <c r="CW31" s="141">
        <v>0</v>
      </c>
      <c r="CX31" s="110">
        <v>0</v>
      </c>
      <c r="CY31" s="111">
        <v>0</v>
      </c>
      <c r="CZ31" s="110" t="s">
        <v>3755</v>
      </c>
      <c r="DA31" s="110" t="s">
        <v>3755</v>
      </c>
      <c r="DB31" s="110">
        <v>0</v>
      </c>
      <c r="DC31" s="112" t="s">
        <v>3899</v>
      </c>
      <c r="DD31" s="115" t="s">
        <v>3762</v>
      </c>
      <c r="DE31" s="109">
        <v>0</v>
      </c>
      <c r="DF31" s="144" t="s">
        <v>3716</v>
      </c>
    </row>
    <row r="32" spans="1:110" ht="35.1" customHeight="1" x14ac:dyDescent="0.2">
      <c r="A32" s="121" t="s">
        <v>1296</v>
      </c>
      <c r="B32" s="118" t="s">
        <v>1261</v>
      </c>
      <c r="C32" s="118" t="s">
        <v>1297</v>
      </c>
      <c r="D32" s="111">
        <v>3120</v>
      </c>
      <c r="E32" s="111">
        <v>1087173900</v>
      </c>
      <c r="F32" s="111">
        <v>2383</v>
      </c>
      <c r="G32" s="111">
        <v>73947560</v>
      </c>
      <c r="H32" s="111">
        <v>737</v>
      </c>
      <c r="I32" s="111">
        <v>14439500</v>
      </c>
      <c r="J32" s="111">
        <v>1106</v>
      </c>
      <c r="K32" s="111">
        <v>16860000</v>
      </c>
      <c r="L32" s="111">
        <v>10850083</v>
      </c>
      <c r="M32" s="111">
        <v>1582240</v>
      </c>
      <c r="N32" s="111">
        <v>122506</v>
      </c>
      <c r="O32" s="111">
        <v>303305</v>
      </c>
      <c r="P32" s="111">
        <v>9833426</v>
      </c>
      <c r="Q32" s="111">
        <v>0</v>
      </c>
      <c r="R32" s="111">
        <v>22691560</v>
      </c>
      <c r="S32" s="146">
        <v>9.9800804636682311E-3</v>
      </c>
      <c r="T32" s="146">
        <v>1.4553697435157338E-3</v>
      </c>
      <c r="U32" s="146">
        <v>1.1268298475524477E-4</v>
      </c>
      <c r="V32" s="146">
        <v>2.7898480638654036E-4</v>
      </c>
      <c r="W32" s="146">
        <v>8.9574501374619087E-3</v>
      </c>
      <c r="X32" s="146">
        <v>0</v>
      </c>
      <c r="Y32" s="146">
        <v>2.0784568135787659E-2</v>
      </c>
      <c r="Z32" s="112">
        <v>0</v>
      </c>
      <c r="AA32" s="115" t="s">
        <v>3716</v>
      </c>
      <c r="AB32" s="115">
        <v>0</v>
      </c>
      <c r="AC32" s="110" t="s">
        <v>3716</v>
      </c>
      <c r="AD32" s="115">
        <v>0</v>
      </c>
      <c r="AE32" s="110">
        <v>0</v>
      </c>
      <c r="AF32" s="110" t="s">
        <v>3755</v>
      </c>
      <c r="AG32" s="115" t="s">
        <v>3756</v>
      </c>
      <c r="AH32" s="115" t="s">
        <v>3756</v>
      </c>
      <c r="AI32" s="113"/>
      <c r="AJ32" s="116"/>
      <c r="AK32" s="109">
        <v>0</v>
      </c>
      <c r="AL32" s="109">
        <v>0</v>
      </c>
      <c r="AM32" s="115">
        <v>0</v>
      </c>
      <c r="AN32" s="115">
        <v>0</v>
      </c>
      <c r="AO32" s="112">
        <v>0</v>
      </c>
      <c r="AP32" s="112">
        <v>0</v>
      </c>
      <c r="AQ32" s="145">
        <v>0</v>
      </c>
      <c r="AR32" s="109">
        <v>0</v>
      </c>
      <c r="AS32" s="115">
        <v>0</v>
      </c>
      <c r="AT32" s="115">
        <v>0</v>
      </c>
      <c r="AU32" s="112">
        <v>0</v>
      </c>
      <c r="AV32" s="112">
        <v>0</v>
      </c>
      <c r="AW32" s="145">
        <v>0</v>
      </c>
      <c r="AX32" s="109">
        <v>0</v>
      </c>
      <c r="AY32" s="115">
        <v>0</v>
      </c>
      <c r="AZ32" s="115">
        <v>0</v>
      </c>
      <c r="BA32" s="112">
        <v>0</v>
      </c>
      <c r="BB32" s="112">
        <v>0</v>
      </c>
      <c r="BC32" s="110" t="s">
        <v>3755</v>
      </c>
      <c r="BD32" s="111">
        <v>509</v>
      </c>
      <c r="BE32" s="111">
        <v>520773000</v>
      </c>
      <c r="BF32" s="110" t="s">
        <v>3755</v>
      </c>
      <c r="BG32" s="111">
        <v>149</v>
      </c>
      <c r="BH32" s="111">
        <v>503439000</v>
      </c>
      <c r="BI32" s="110" t="s">
        <v>3755</v>
      </c>
      <c r="BJ32" s="111">
        <v>296</v>
      </c>
      <c r="BK32" s="111">
        <v>15854000</v>
      </c>
      <c r="BL32" s="110" t="s">
        <v>3755</v>
      </c>
      <c r="BM32" s="111">
        <v>72</v>
      </c>
      <c r="BN32" s="111">
        <v>1446000</v>
      </c>
      <c r="BO32" s="110" t="s">
        <v>3755</v>
      </c>
      <c r="BP32" s="111">
        <v>495</v>
      </c>
      <c r="BQ32" s="111">
        <v>10300000</v>
      </c>
      <c r="BR32" s="110">
        <v>0</v>
      </c>
      <c r="BS32" s="111"/>
      <c r="BT32" s="111"/>
      <c r="BU32" s="110">
        <v>0</v>
      </c>
      <c r="BV32" s="111"/>
      <c r="BW32" s="111"/>
      <c r="BX32" s="110" t="s">
        <v>3755</v>
      </c>
      <c r="BY32" s="111">
        <v>114</v>
      </c>
      <c r="BZ32" s="111">
        <v>8142000</v>
      </c>
      <c r="CA32" s="110" t="s">
        <v>3755</v>
      </c>
      <c r="CB32" s="111">
        <v>167</v>
      </c>
      <c r="CC32" s="111">
        <v>6521900</v>
      </c>
      <c r="CD32" s="110" t="s">
        <v>3755</v>
      </c>
      <c r="CE32" s="111">
        <v>1318</v>
      </c>
      <c r="CF32" s="111">
        <v>20698000</v>
      </c>
      <c r="CG32" s="110">
        <v>0</v>
      </c>
      <c r="CH32" s="111"/>
      <c r="CI32" s="111"/>
      <c r="CJ32" s="110">
        <v>0</v>
      </c>
      <c r="CK32" s="112">
        <v>0</v>
      </c>
      <c r="CL32" s="111"/>
      <c r="CM32" s="111"/>
      <c r="CN32" s="141" t="s">
        <v>3900</v>
      </c>
      <c r="CO32" s="114" t="s">
        <v>3901</v>
      </c>
      <c r="CP32" s="110" t="s">
        <v>3760</v>
      </c>
      <c r="CQ32" s="111">
        <v>634781000</v>
      </c>
      <c r="CR32" s="141" t="s">
        <v>3902</v>
      </c>
      <c r="CS32" s="141" t="s">
        <v>3903</v>
      </c>
      <c r="CT32" s="110" t="s">
        <v>3760</v>
      </c>
      <c r="CU32" s="111">
        <v>502846000</v>
      </c>
      <c r="CV32" s="141" t="s">
        <v>3904</v>
      </c>
      <c r="CW32" s="141" t="s">
        <v>3905</v>
      </c>
      <c r="CX32" s="110" t="s">
        <v>3771</v>
      </c>
      <c r="CY32" s="111">
        <v>16277400</v>
      </c>
      <c r="CZ32" s="110" t="s">
        <v>3755</v>
      </c>
      <c r="DA32" s="110" t="s">
        <v>3755</v>
      </c>
      <c r="DB32" s="110">
        <v>0</v>
      </c>
      <c r="DC32" s="112" t="s">
        <v>3906</v>
      </c>
      <c r="DD32" s="115" t="s">
        <v>3762</v>
      </c>
      <c r="DE32" s="109">
        <v>0</v>
      </c>
      <c r="DF32" s="144" t="s">
        <v>3716</v>
      </c>
    </row>
    <row r="33" spans="1:110" ht="35.1" customHeight="1" x14ac:dyDescent="0.2">
      <c r="A33" s="121" t="s">
        <v>1298</v>
      </c>
      <c r="B33" s="118" t="s">
        <v>1261</v>
      </c>
      <c r="C33" s="118" t="s">
        <v>1299</v>
      </c>
      <c r="D33" s="111">
        <v>5609</v>
      </c>
      <c r="E33" s="111">
        <v>155720500</v>
      </c>
      <c r="F33" s="111">
        <v>5604</v>
      </c>
      <c r="G33" s="111">
        <v>155634500</v>
      </c>
      <c r="H33" s="111">
        <v>1255</v>
      </c>
      <c r="I33" s="111">
        <v>29744000</v>
      </c>
      <c r="J33" s="111">
        <v>0</v>
      </c>
      <c r="K33" s="111">
        <v>0</v>
      </c>
      <c r="L33" s="111">
        <v>42728050</v>
      </c>
      <c r="M33" s="111">
        <v>6410185</v>
      </c>
      <c r="N33" s="111">
        <v>130983</v>
      </c>
      <c r="O33" s="111">
        <v>578107</v>
      </c>
      <c r="P33" s="111">
        <v>30126651</v>
      </c>
      <c r="Q33" s="111">
        <v>0</v>
      </c>
      <c r="R33" s="111">
        <v>79973976</v>
      </c>
      <c r="S33" s="146">
        <v>0.2743893706994262</v>
      </c>
      <c r="T33" s="146">
        <v>4.1164682877334713E-2</v>
      </c>
      <c r="U33" s="146">
        <v>8.411416608603235E-4</v>
      </c>
      <c r="V33" s="146">
        <v>3.712465603436927E-3</v>
      </c>
      <c r="W33" s="146">
        <v>0.19346618460639414</v>
      </c>
      <c r="X33" s="146">
        <v>0</v>
      </c>
      <c r="Y33" s="146">
        <v>0.51357384544745233</v>
      </c>
      <c r="Z33" s="112">
        <v>0</v>
      </c>
      <c r="AA33" s="115" t="s">
        <v>3762</v>
      </c>
      <c r="AB33" s="115">
        <v>0</v>
      </c>
      <c r="AC33" s="110" t="s">
        <v>3716</v>
      </c>
      <c r="AD33" s="115">
        <v>0</v>
      </c>
      <c r="AE33" s="110">
        <v>0</v>
      </c>
      <c r="AF33" s="110" t="s">
        <v>3755</v>
      </c>
      <c r="AG33" s="115" t="s">
        <v>3756</v>
      </c>
      <c r="AH33" s="115" t="s">
        <v>3756</v>
      </c>
      <c r="AI33" s="113"/>
      <c r="AJ33" s="116"/>
      <c r="AK33" s="109">
        <v>0</v>
      </c>
      <c r="AL33" s="109">
        <v>0</v>
      </c>
      <c r="AM33" s="115">
        <v>0</v>
      </c>
      <c r="AN33" s="115">
        <v>0</v>
      </c>
      <c r="AO33" s="112">
        <v>0</v>
      </c>
      <c r="AP33" s="112">
        <v>0</v>
      </c>
      <c r="AQ33" s="145">
        <v>0</v>
      </c>
      <c r="AR33" s="112">
        <v>0</v>
      </c>
      <c r="AS33" s="115">
        <v>0</v>
      </c>
      <c r="AT33" s="115">
        <v>0</v>
      </c>
      <c r="AU33" s="112">
        <v>0</v>
      </c>
      <c r="AV33" s="112">
        <v>0</v>
      </c>
      <c r="AW33" s="145">
        <v>0</v>
      </c>
      <c r="AX33" s="112">
        <v>0</v>
      </c>
      <c r="AY33" s="115">
        <v>0</v>
      </c>
      <c r="AZ33" s="115">
        <v>0</v>
      </c>
      <c r="BA33" s="112">
        <v>0</v>
      </c>
      <c r="BB33" s="112">
        <v>0</v>
      </c>
      <c r="BC33" s="110">
        <v>0</v>
      </c>
      <c r="BD33" s="111"/>
      <c r="BE33" s="111"/>
      <c r="BF33" s="110">
        <v>0</v>
      </c>
      <c r="BG33" s="111"/>
      <c r="BH33" s="111"/>
      <c r="BI33" s="110">
        <v>0</v>
      </c>
      <c r="BJ33" s="111"/>
      <c r="BK33" s="111"/>
      <c r="BL33" s="110" t="s">
        <v>3755</v>
      </c>
      <c r="BM33" s="111">
        <v>661</v>
      </c>
      <c r="BN33" s="111">
        <v>17823000</v>
      </c>
      <c r="BO33" s="110" t="s">
        <v>3755</v>
      </c>
      <c r="BP33" s="111">
        <v>761</v>
      </c>
      <c r="BQ33" s="111">
        <v>21734000</v>
      </c>
      <c r="BR33" s="110" t="s">
        <v>3755</v>
      </c>
      <c r="BS33" s="111">
        <v>1493</v>
      </c>
      <c r="BT33" s="111">
        <v>39207000</v>
      </c>
      <c r="BU33" s="110" t="s">
        <v>3755</v>
      </c>
      <c r="BV33" s="111">
        <v>607</v>
      </c>
      <c r="BW33" s="111">
        <v>17859000</v>
      </c>
      <c r="BX33" s="110">
        <v>0</v>
      </c>
      <c r="BY33" s="111"/>
      <c r="BZ33" s="111"/>
      <c r="CA33" s="110" t="s">
        <v>3755</v>
      </c>
      <c r="CB33" s="111">
        <v>878</v>
      </c>
      <c r="CC33" s="111">
        <v>28201000</v>
      </c>
      <c r="CD33" s="110">
        <v>0</v>
      </c>
      <c r="CE33" s="111">
        <v>0</v>
      </c>
      <c r="CF33" s="111">
        <v>0</v>
      </c>
      <c r="CG33" s="110" t="s">
        <v>3755</v>
      </c>
      <c r="CH33" s="111">
        <v>1209</v>
      </c>
      <c r="CI33" s="111">
        <v>30896500</v>
      </c>
      <c r="CJ33" s="110">
        <v>0</v>
      </c>
      <c r="CK33" s="112">
        <v>0</v>
      </c>
      <c r="CL33" s="111">
        <v>0</v>
      </c>
      <c r="CM33" s="111">
        <v>0</v>
      </c>
      <c r="CN33" s="141" t="s">
        <v>3777</v>
      </c>
      <c r="CO33" s="114" t="s">
        <v>3907</v>
      </c>
      <c r="CP33" s="110" t="s">
        <v>3764</v>
      </c>
      <c r="CQ33" s="111">
        <v>11275000</v>
      </c>
      <c r="CR33" s="141" t="s">
        <v>3843</v>
      </c>
      <c r="CS33" s="141" t="s">
        <v>3908</v>
      </c>
      <c r="CT33" s="110" t="s">
        <v>3765</v>
      </c>
      <c r="CU33" s="111">
        <v>41832000</v>
      </c>
      <c r="CV33" s="141" t="s">
        <v>3909</v>
      </c>
      <c r="CW33" s="141" t="s">
        <v>3910</v>
      </c>
      <c r="CX33" s="110" t="s">
        <v>3758</v>
      </c>
      <c r="CY33" s="111">
        <v>14899000</v>
      </c>
      <c r="CZ33" s="110" t="s">
        <v>3755</v>
      </c>
      <c r="DA33" s="110" t="s">
        <v>3755</v>
      </c>
      <c r="DB33" s="110">
        <v>0</v>
      </c>
      <c r="DC33" s="112" t="s">
        <v>3911</v>
      </c>
      <c r="DD33" s="115" t="s">
        <v>3762</v>
      </c>
      <c r="DE33" s="109">
        <v>0</v>
      </c>
      <c r="DF33" s="144" t="s">
        <v>3716</v>
      </c>
    </row>
    <row r="34" spans="1:110" ht="35.1" customHeight="1" x14ac:dyDescent="0.2">
      <c r="A34" s="121" t="s">
        <v>1300</v>
      </c>
      <c r="B34" s="118" t="s">
        <v>1261</v>
      </c>
      <c r="C34" s="118" t="s">
        <v>1301</v>
      </c>
      <c r="D34" s="111">
        <v>1077</v>
      </c>
      <c r="E34" s="111">
        <v>32008000</v>
      </c>
      <c r="F34" s="111">
        <v>1066</v>
      </c>
      <c r="G34" s="111">
        <v>31744000</v>
      </c>
      <c r="H34" s="111">
        <v>283</v>
      </c>
      <c r="I34" s="111">
        <v>6826000</v>
      </c>
      <c r="J34" s="111">
        <v>0</v>
      </c>
      <c r="K34" s="111">
        <v>0</v>
      </c>
      <c r="L34" s="111">
        <v>8838174</v>
      </c>
      <c r="M34" s="111">
        <v>1171696</v>
      </c>
      <c r="N34" s="111">
        <v>0</v>
      </c>
      <c r="O34" s="111">
        <v>402024</v>
      </c>
      <c r="P34" s="111">
        <v>4927800</v>
      </c>
      <c r="Q34" s="111">
        <v>0</v>
      </c>
      <c r="R34" s="111">
        <v>15339694</v>
      </c>
      <c r="S34" s="146">
        <v>0.27612390652336916</v>
      </c>
      <c r="T34" s="146">
        <v>3.6606348412896776E-2</v>
      </c>
      <c r="U34" s="146">
        <v>0</v>
      </c>
      <c r="V34" s="146">
        <v>1.2560109972506873E-2</v>
      </c>
      <c r="W34" s="146">
        <v>0.15395526118470382</v>
      </c>
      <c r="X34" s="146">
        <v>0</v>
      </c>
      <c r="Y34" s="146">
        <v>0.47924562609347665</v>
      </c>
      <c r="Z34" s="112">
        <v>0</v>
      </c>
      <c r="AA34" s="115" t="s">
        <v>3716</v>
      </c>
      <c r="AB34" s="115">
        <v>0</v>
      </c>
      <c r="AC34" s="110" t="s">
        <v>3716</v>
      </c>
      <c r="AD34" s="115">
        <v>0</v>
      </c>
      <c r="AE34" s="110">
        <v>0</v>
      </c>
      <c r="AF34" s="110" t="s">
        <v>3755</v>
      </c>
      <c r="AG34" s="115" t="s">
        <v>3756</v>
      </c>
      <c r="AH34" s="115" t="s">
        <v>3756</v>
      </c>
      <c r="AI34" s="113"/>
      <c r="AJ34" s="116"/>
      <c r="AK34" s="109">
        <v>0</v>
      </c>
      <c r="AL34" s="109">
        <v>0</v>
      </c>
      <c r="AM34" s="115">
        <v>0</v>
      </c>
      <c r="AN34" s="115">
        <v>0</v>
      </c>
      <c r="AO34" s="112">
        <v>0</v>
      </c>
      <c r="AP34" s="112">
        <v>0</v>
      </c>
      <c r="AQ34" s="145">
        <v>0</v>
      </c>
      <c r="AR34" s="112">
        <v>0</v>
      </c>
      <c r="AS34" s="115">
        <v>0</v>
      </c>
      <c r="AT34" s="115">
        <v>0</v>
      </c>
      <c r="AU34" s="112">
        <v>0</v>
      </c>
      <c r="AV34" s="112">
        <v>0</v>
      </c>
      <c r="AW34" s="145">
        <v>0</v>
      </c>
      <c r="AX34" s="112">
        <v>0</v>
      </c>
      <c r="AY34" s="115">
        <v>0</v>
      </c>
      <c r="AZ34" s="115">
        <v>0</v>
      </c>
      <c r="BA34" s="112">
        <v>0</v>
      </c>
      <c r="BB34" s="112">
        <v>0</v>
      </c>
      <c r="BC34" s="110">
        <v>0</v>
      </c>
      <c r="BD34" s="111"/>
      <c r="BE34" s="111"/>
      <c r="BF34" s="110" t="s">
        <v>3755</v>
      </c>
      <c r="BG34" s="111">
        <v>118</v>
      </c>
      <c r="BH34" s="111">
        <v>5249000</v>
      </c>
      <c r="BI34" s="110" t="s">
        <v>3755</v>
      </c>
      <c r="BJ34" s="111">
        <v>87</v>
      </c>
      <c r="BK34" s="111">
        <v>1688500</v>
      </c>
      <c r="BL34" s="110" t="s">
        <v>3755</v>
      </c>
      <c r="BM34" s="111">
        <v>205</v>
      </c>
      <c r="BN34" s="111">
        <v>5071000</v>
      </c>
      <c r="BO34" s="110" t="s">
        <v>3755</v>
      </c>
      <c r="BP34" s="111">
        <v>77</v>
      </c>
      <c r="BQ34" s="111">
        <v>3041500</v>
      </c>
      <c r="BR34" s="110" t="s">
        <v>3755</v>
      </c>
      <c r="BS34" s="111">
        <v>2</v>
      </c>
      <c r="BT34" s="111">
        <v>76000</v>
      </c>
      <c r="BU34" s="110" t="s">
        <v>3755</v>
      </c>
      <c r="BV34" s="111">
        <v>1</v>
      </c>
      <c r="BW34" s="111">
        <v>30000</v>
      </c>
      <c r="BX34" s="110" t="s">
        <v>3755</v>
      </c>
      <c r="BY34" s="111">
        <v>79</v>
      </c>
      <c r="BZ34" s="111">
        <v>2189000</v>
      </c>
      <c r="CA34" s="110">
        <v>0</v>
      </c>
      <c r="CB34" s="111"/>
      <c r="CC34" s="111"/>
      <c r="CD34" s="110" t="s">
        <v>3755</v>
      </c>
      <c r="CE34" s="111">
        <v>27</v>
      </c>
      <c r="CF34" s="111">
        <v>360000</v>
      </c>
      <c r="CG34" s="110" t="s">
        <v>3755</v>
      </c>
      <c r="CH34" s="111">
        <v>527</v>
      </c>
      <c r="CI34" s="111">
        <v>13678000</v>
      </c>
      <c r="CJ34" s="110" t="s">
        <v>3755</v>
      </c>
      <c r="CK34" s="112" t="s">
        <v>3912</v>
      </c>
      <c r="CL34" s="111">
        <v>14</v>
      </c>
      <c r="CM34" s="111">
        <v>625000</v>
      </c>
      <c r="CN34" s="141" t="s">
        <v>3775</v>
      </c>
      <c r="CO34" s="114" t="s">
        <v>3913</v>
      </c>
      <c r="CP34" s="110" t="s">
        <v>3764</v>
      </c>
      <c r="CQ34" s="111">
        <v>174375</v>
      </c>
      <c r="CR34" s="141" t="s">
        <v>3914</v>
      </c>
      <c r="CS34" s="141" t="s">
        <v>3915</v>
      </c>
      <c r="CT34" s="110" t="s">
        <v>3764</v>
      </c>
      <c r="CU34" s="111">
        <v>120000</v>
      </c>
      <c r="CV34" s="141" t="s">
        <v>3916</v>
      </c>
      <c r="CW34" s="141" t="s">
        <v>3917</v>
      </c>
      <c r="CX34" s="110" t="s">
        <v>3758</v>
      </c>
      <c r="CY34" s="111">
        <v>249500</v>
      </c>
      <c r="CZ34" s="110" t="s">
        <v>3755</v>
      </c>
      <c r="DA34" s="110" t="s">
        <v>3755</v>
      </c>
      <c r="DB34" s="110" t="s">
        <v>3755</v>
      </c>
      <c r="DC34" s="112">
        <v>0</v>
      </c>
      <c r="DD34" s="115" t="s">
        <v>3762</v>
      </c>
      <c r="DE34" s="109">
        <v>0</v>
      </c>
      <c r="DF34" s="144" t="s">
        <v>3716</v>
      </c>
    </row>
    <row r="35" spans="1:110" ht="35.1" customHeight="1" x14ac:dyDescent="0.2">
      <c r="A35" s="121" t="s">
        <v>1302</v>
      </c>
      <c r="B35" s="118" t="s">
        <v>1261</v>
      </c>
      <c r="C35" s="118" t="s">
        <v>1303</v>
      </c>
      <c r="D35" s="111">
        <v>15444</v>
      </c>
      <c r="E35" s="111">
        <v>519556800</v>
      </c>
      <c r="F35" s="111">
        <v>15439</v>
      </c>
      <c r="G35" s="111">
        <v>519534800</v>
      </c>
      <c r="H35" s="111">
        <v>3699</v>
      </c>
      <c r="I35" s="111">
        <v>95408300</v>
      </c>
      <c r="J35" s="111">
        <v>0</v>
      </c>
      <c r="K35" s="111">
        <v>0</v>
      </c>
      <c r="L35" s="111">
        <v>156091309</v>
      </c>
      <c r="M35" s="111">
        <v>16703071</v>
      </c>
      <c r="N35" s="111">
        <v>0</v>
      </c>
      <c r="O35" s="111">
        <v>9238222</v>
      </c>
      <c r="P35" s="111">
        <v>68149316</v>
      </c>
      <c r="Q35" s="111">
        <v>0</v>
      </c>
      <c r="R35" s="111">
        <v>250181918</v>
      </c>
      <c r="S35" s="146">
        <v>0.30043165444086189</v>
      </c>
      <c r="T35" s="146">
        <v>3.2148690961219258E-2</v>
      </c>
      <c r="U35" s="146">
        <v>0</v>
      </c>
      <c r="V35" s="146">
        <v>1.7780966392894868E-2</v>
      </c>
      <c r="W35" s="146">
        <v>0.13116817256554048</v>
      </c>
      <c r="X35" s="146">
        <v>0</v>
      </c>
      <c r="Y35" s="146">
        <v>0.48152948436051651</v>
      </c>
      <c r="Z35" s="112">
        <v>0</v>
      </c>
      <c r="AA35" s="115" t="s">
        <v>3716</v>
      </c>
      <c r="AB35" s="115">
        <v>0</v>
      </c>
      <c r="AC35" s="110" t="s">
        <v>3716</v>
      </c>
      <c r="AD35" s="115">
        <v>0</v>
      </c>
      <c r="AE35" s="110">
        <v>0</v>
      </c>
      <c r="AF35" s="110" t="s">
        <v>3755</v>
      </c>
      <c r="AG35" s="115" t="s">
        <v>3756</v>
      </c>
      <c r="AH35" s="115" t="s">
        <v>3756</v>
      </c>
      <c r="AI35" s="113"/>
      <c r="AJ35" s="116"/>
      <c r="AK35" s="109">
        <v>0</v>
      </c>
      <c r="AL35" s="109">
        <v>0</v>
      </c>
      <c r="AM35" s="115">
        <v>0</v>
      </c>
      <c r="AN35" s="115">
        <v>0</v>
      </c>
      <c r="AO35" s="112">
        <v>0</v>
      </c>
      <c r="AP35" s="112">
        <v>0</v>
      </c>
      <c r="AQ35" s="145">
        <v>0</v>
      </c>
      <c r="AR35" s="109">
        <v>0</v>
      </c>
      <c r="AS35" s="115">
        <v>0</v>
      </c>
      <c r="AT35" s="115">
        <v>0</v>
      </c>
      <c r="AU35" s="112">
        <v>0</v>
      </c>
      <c r="AV35" s="112">
        <v>0</v>
      </c>
      <c r="AW35" s="145">
        <v>0</v>
      </c>
      <c r="AX35" s="109">
        <v>0</v>
      </c>
      <c r="AY35" s="115">
        <v>0</v>
      </c>
      <c r="AZ35" s="115">
        <v>0</v>
      </c>
      <c r="BA35" s="112">
        <v>0</v>
      </c>
      <c r="BB35" s="112">
        <v>0</v>
      </c>
      <c r="BC35" s="110" t="s">
        <v>3755</v>
      </c>
      <c r="BD35" s="111">
        <v>193</v>
      </c>
      <c r="BE35" s="111">
        <v>4853000</v>
      </c>
      <c r="BF35" s="110">
        <v>0</v>
      </c>
      <c r="BG35" s="111"/>
      <c r="BH35" s="111"/>
      <c r="BI35" s="110" t="s">
        <v>3755</v>
      </c>
      <c r="BJ35" s="111">
        <v>1222</v>
      </c>
      <c r="BK35" s="111">
        <v>36277000</v>
      </c>
      <c r="BL35" s="110" t="s">
        <v>3755</v>
      </c>
      <c r="BM35" s="111">
        <v>4108</v>
      </c>
      <c r="BN35" s="111">
        <v>154752000</v>
      </c>
      <c r="BO35" s="110" t="s">
        <v>3755</v>
      </c>
      <c r="BP35" s="111">
        <v>2768</v>
      </c>
      <c r="BQ35" s="111">
        <v>84389500</v>
      </c>
      <c r="BR35" s="110">
        <v>0</v>
      </c>
      <c r="BS35" s="111"/>
      <c r="BT35" s="111"/>
      <c r="BU35" s="110">
        <v>0</v>
      </c>
      <c r="BV35" s="111"/>
      <c r="BW35" s="111"/>
      <c r="BX35" s="110" t="s">
        <v>3755</v>
      </c>
      <c r="BY35" s="111">
        <v>1404</v>
      </c>
      <c r="BZ35" s="111">
        <v>50084000</v>
      </c>
      <c r="CA35" s="110" t="s">
        <v>3755</v>
      </c>
      <c r="CB35" s="111">
        <v>1678</v>
      </c>
      <c r="CC35" s="111">
        <v>46451000</v>
      </c>
      <c r="CD35" s="110" t="s">
        <v>3755</v>
      </c>
      <c r="CE35" s="111">
        <v>228</v>
      </c>
      <c r="CF35" s="111">
        <v>13771300</v>
      </c>
      <c r="CG35" s="110" t="s">
        <v>3755</v>
      </c>
      <c r="CH35" s="111">
        <v>3843</v>
      </c>
      <c r="CI35" s="111">
        <v>128979000</v>
      </c>
      <c r="CJ35" s="110">
        <v>0</v>
      </c>
      <c r="CK35" s="112">
        <v>0</v>
      </c>
      <c r="CL35" s="111"/>
      <c r="CM35" s="111"/>
      <c r="CN35" s="141" t="s">
        <v>3918</v>
      </c>
      <c r="CO35" s="114" t="s">
        <v>3919</v>
      </c>
      <c r="CP35" s="110" t="s">
        <v>3768</v>
      </c>
      <c r="CQ35" s="111">
        <v>100000000</v>
      </c>
      <c r="CR35" s="141" t="s">
        <v>3920</v>
      </c>
      <c r="CS35" s="141" t="s">
        <v>3921</v>
      </c>
      <c r="CT35" s="110" t="s">
        <v>3758</v>
      </c>
      <c r="CU35" s="111">
        <v>75000000</v>
      </c>
      <c r="CV35" s="141" t="s">
        <v>3774</v>
      </c>
      <c r="CW35" s="141" t="s">
        <v>3922</v>
      </c>
      <c r="CX35" s="110" t="s">
        <v>3768</v>
      </c>
      <c r="CY35" s="111">
        <v>32000000</v>
      </c>
      <c r="CZ35" s="110" t="s">
        <v>3755</v>
      </c>
      <c r="DA35" s="110" t="s">
        <v>3755</v>
      </c>
      <c r="DB35" s="110">
        <v>0</v>
      </c>
      <c r="DC35" s="112" t="s">
        <v>3923</v>
      </c>
      <c r="DD35" s="115" t="s">
        <v>3762</v>
      </c>
      <c r="DE35" s="109">
        <v>0</v>
      </c>
      <c r="DF35" s="144" t="s">
        <v>3716</v>
      </c>
    </row>
    <row r="36" spans="1:110" ht="35.1" customHeight="1" x14ac:dyDescent="0.2">
      <c r="A36" s="121" t="s">
        <v>1304</v>
      </c>
      <c r="B36" s="118" t="s">
        <v>1261</v>
      </c>
      <c r="C36" s="118" t="s">
        <v>1305</v>
      </c>
      <c r="D36" s="111">
        <v>2443</v>
      </c>
      <c r="E36" s="111">
        <v>48754000</v>
      </c>
      <c r="F36" s="111">
        <v>2429</v>
      </c>
      <c r="G36" s="111">
        <v>48152000</v>
      </c>
      <c r="H36" s="111">
        <v>581</v>
      </c>
      <c r="I36" s="111">
        <v>11081000</v>
      </c>
      <c r="J36" s="111">
        <v>0</v>
      </c>
      <c r="K36" s="111">
        <v>0</v>
      </c>
      <c r="L36" s="111">
        <v>12076025</v>
      </c>
      <c r="M36" s="111">
        <v>3340486</v>
      </c>
      <c r="N36" s="111">
        <v>479828</v>
      </c>
      <c r="O36" s="111">
        <v>1029964</v>
      </c>
      <c r="P36" s="111">
        <v>7291504</v>
      </c>
      <c r="Q36" s="111">
        <v>0</v>
      </c>
      <c r="R36" s="111">
        <v>24217807</v>
      </c>
      <c r="S36" s="146">
        <v>0.24769300980432374</v>
      </c>
      <c r="T36" s="146">
        <v>6.8517167822127412E-2</v>
      </c>
      <c r="U36" s="146">
        <v>9.841818107232227E-3</v>
      </c>
      <c r="V36" s="146">
        <v>2.112573327316733E-2</v>
      </c>
      <c r="W36" s="146">
        <v>0.14955704147352011</v>
      </c>
      <c r="X36" s="146">
        <v>0</v>
      </c>
      <c r="Y36" s="146">
        <v>0.49673477048037085</v>
      </c>
      <c r="Z36" s="112">
        <v>0</v>
      </c>
      <c r="AA36" s="115" t="s">
        <v>3716</v>
      </c>
      <c r="AB36" s="115">
        <v>0</v>
      </c>
      <c r="AC36" s="110" t="s">
        <v>3716</v>
      </c>
      <c r="AD36" s="115">
        <v>0</v>
      </c>
      <c r="AE36" s="110">
        <v>0</v>
      </c>
      <c r="AF36" s="110" t="s">
        <v>3755</v>
      </c>
      <c r="AG36" s="115" t="s">
        <v>3756</v>
      </c>
      <c r="AH36" s="115" t="s">
        <v>3762</v>
      </c>
      <c r="AI36" s="113"/>
      <c r="AJ36" s="116"/>
      <c r="AK36" s="109">
        <v>0</v>
      </c>
      <c r="AL36" s="109">
        <v>0</v>
      </c>
      <c r="AM36" s="115">
        <v>0</v>
      </c>
      <c r="AN36" s="115">
        <v>0</v>
      </c>
      <c r="AO36" s="112">
        <v>0</v>
      </c>
      <c r="AP36" s="112">
        <v>0</v>
      </c>
      <c r="AQ36" s="145">
        <v>0</v>
      </c>
      <c r="AR36" s="112">
        <v>0</v>
      </c>
      <c r="AS36" s="115">
        <v>0</v>
      </c>
      <c r="AT36" s="115">
        <v>0</v>
      </c>
      <c r="AU36" s="112">
        <v>0</v>
      </c>
      <c r="AV36" s="112">
        <v>0</v>
      </c>
      <c r="AW36" s="145">
        <v>0</v>
      </c>
      <c r="AX36" s="112">
        <v>0</v>
      </c>
      <c r="AY36" s="115">
        <v>0</v>
      </c>
      <c r="AZ36" s="115">
        <v>0</v>
      </c>
      <c r="BA36" s="112">
        <v>0</v>
      </c>
      <c r="BB36" s="112">
        <v>0</v>
      </c>
      <c r="BC36" s="110">
        <v>0</v>
      </c>
      <c r="BD36" s="111"/>
      <c r="BE36" s="111"/>
      <c r="BF36" s="110" t="s">
        <v>3755</v>
      </c>
      <c r="BG36" s="111">
        <v>73</v>
      </c>
      <c r="BH36" s="111">
        <v>1358000</v>
      </c>
      <c r="BI36" s="110" t="s">
        <v>3755</v>
      </c>
      <c r="BJ36" s="111">
        <v>443</v>
      </c>
      <c r="BK36" s="111">
        <v>6872000</v>
      </c>
      <c r="BL36" s="110">
        <v>0</v>
      </c>
      <c r="BM36" s="111"/>
      <c r="BN36" s="111"/>
      <c r="BO36" s="110">
        <v>0</v>
      </c>
      <c r="BP36" s="111"/>
      <c r="BQ36" s="111"/>
      <c r="BR36" s="110">
        <v>0</v>
      </c>
      <c r="BS36" s="111"/>
      <c r="BT36" s="111"/>
      <c r="BU36" s="110">
        <v>0</v>
      </c>
      <c r="BV36" s="111"/>
      <c r="BW36" s="111"/>
      <c r="BX36" s="110">
        <v>0</v>
      </c>
      <c r="BY36" s="111"/>
      <c r="BZ36" s="111"/>
      <c r="CA36" s="110">
        <v>0</v>
      </c>
      <c r="CB36" s="111"/>
      <c r="CC36" s="111"/>
      <c r="CD36" s="110">
        <v>0</v>
      </c>
      <c r="CE36" s="111">
        <v>0</v>
      </c>
      <c r="CF36" s="111">
        <v>0</v>
      </c>
      <c r="CG36" s="110" t="s">
        <v>3755</v>
      </c>
      <c r="CH36" s="111">
        <v>801</v>
      </c>
      <c r="CI36" s="111">
        <v>15345000</v>
      </c>
      <c r="CJ36" s="110" t="s">
        <v>3755</v>
      </c>
      <c r="CK36" s="112" t="s">
        <v>3924</v>
      </c>
      <c r="CL36" s="111">
        <v>1122</v>
      </c>
      <c r="CM36" s="111">
        <v>23969000</v>
      </c>
      <c r="CN36" s="141" t="s">
        <v>3925</v>
      </c>
      <c r="CO36" s="114" t="s">
        <v>3926</v>
      </c>
      <c r="CP36" s="110" t="s">
        <v>3765</v>
      </c>
      <c r="CQ36" s="111">
        <v>4740000</v>
      </c>
      <c r="CR36" s="141" t="s">
        <v>3927</v>
      </c>
      <c r="CS36" s="141" t="s">
        <v>3928</v>
      </c>
      <c r="CT36" s="110" t="s">
        <v>3765</v>
      </c>
      <c r="CU36" s="111">
        <v>3489000</v>
      </c>
      <c r="CV36" s="141" t="s">
        <v>3929</v>
      </c>
      <c r="CW36" s="141" t="s">
        <v>3930</v>
      </c>
      <c r="CX36" s="110" t="s">
        <v>3763</v>
      </c>
      <c r="CY36" s="111">
        <v>3483000</v>
      </c>
      <c r="CZ36" s="110" t="s">
        <v>3755</v>
      </c>
      <c r="DA36" s="110" t="s">
        <v>3755</v>
      </c>
      <c r="DB36" s="110">
        <v>0</v>
      </c>
      <c r="DC36" s="112" t="s">
        <v>3931</v>
      </c>
      <c r="DD36" s="115" t="s">
        <v>3762</v>
      </c>
      <c r="DE36" s="109">
        <v>0</v>
      </c>
      <c r="DF36" s="144" t="s">
        <v>3716</v>
      </c>
    </row>
    <row r="37" spans="1:110" ht="35.1" customHeight="1" x14ac:dyDescent="0.2">
      <c r="A37" s="121" t="s">
        <v>1306</v>
      </c>
      <c r="B37" s="118" t="s">
        <v>1261</v>
      </c>
      <c r="C37" s="118" t="s">
        <v>1307</v>
      </c>
      <c r="D37" s="111">
        <v>23220</v>
      </c>
      <c r="E37" s="111">
        <v>324114500</v>
      </c>
      <c r="F37" s="111">
        <v>23220</v>
      </c>
      <c r="G37" s="111">
        <v>324114500</v>
      </c>
      <c r="H37" s="111">
        <v>6847</v>
      </c>
      <c r="I37" s="111">
        <v>88733000</v>
      </c>
      <c r="J37" s="111">
        <v>0</v>
      </c>
      <c r="K37" s="111">
        <v>0</v>
      </c>
      <c r="L37" s="111">
        <v>93552269</v>
      </c>
      <c r="M37" s="111">
        <v>24335493</v>
      </c>
      <c r="N37" s="111">
        <v>3208210</v>
      </c>
      <c r="O37" s="111">
        <v>4199563</v>
      </c>
      <c r="P37" s="111">
        <v>34032471</v>
      </c>
      <c r="Q37" s="111">
        <v>2442000</v>
      </c>
      <c r="R37" s="111">
        <v>161770006</v>
      </c>
      <c r="S37" s="146">
        <v>0.28863956718998995</v>
      </c>
      <c r="T37" s="146">
        <v>7.5083012330519006E-2</v>
      </c>
      <c r="U37" s="146">
        <v>9.8983846757858714E-3</v>
      </c>
      <c r="V37" s="146">
        <v>1.2957035245260548E-2</v>
      </c>
      <c r="W37" s="146">
        <v>0.10500138377024169</v>
      </c>
      <c r="X37" s="146">
        <v>7.5343744263215622E-3</v>
      </c>
      <c r="Y37" s="146">
        <v>0.4991137576381186</v>
      </c>
      <c r="Z37" s="112" t="s">
        <v>3932</v>
      </c>
      <c r="AA37" s="115" t="s">
        <v>3716</v>
      </c>
      <c r="AB37" s="115">
        <v>0</v>
      </c>
      <c r="AC37" s="110" t="s">
        <v>3716</v>
      </c>
      <c r="AD37" s="115">
        <v>0</v>
      </c>
      <c r="AE37" s="110">
        <v>0</v>
      </c>
      <c r="AF37" s="110" t="s">
        <v>3755</v>
      </c>
      <c r="AG37" s="115" t="s">
        <v>3756</v>
      </c>
      <c r="AH37" s="115" t="s">
        <v>3762</v>
      </c>
      <c r="AI37" s="113"/>
      <c r="AJ37" s="116"/>
      <c r="AK37" s="109">
        <v>0</v>
      </c>
      <c r="AL37" s="109">
        <v>0</v>
      </c>
      <c r="AM37" s="115">
        <v>0</v>
      </c>
      <c r="AN37" s="115">
        <v>0</v>
      </c>
      <c r="AO37" s="112">
        <v>0</v>
      </c>
      <c r="AP37" s="112">
        <v>0</v>
      </c>
      <c r="AQ37" s="145">
        <v>0</v>
      </c>
      <c r="AR37" s="112">
        <v>0</v>
      </c>
      <c r="AS37" s="115">
        <v>0</v>
      </c>
      <c r="AT37" s="115">
        <v>0</v>
      </c>
      <c r="AU37" s="112">
        <v>0</v>
      </c>
      <c r="AV37" s="112">
        <v>0</v>
      </c>
      <c r="AW37" s="145">
        <v>0</v>
      </c>
      <c r="AX37" s="112">
        <v>0</v>
      </c>
      <c r="AY37" s="115">
        <v>0</v>
      </c>
      <c r="AZ37" s="115">
        <v>0</v>
      </c>
      <c r="BA37" s="112">
        <v>0</v>
      </c>
      <c r="BB37" s="112">
        <v>0</v>
      </c>
      <c r="BC37" s="110">
        <v>0</v>
      </c>
      <c r="BD37" s="111"/>
      <c r="BE37" s="111"/>
      <c r="BF37" s="110" t="s">
        <v>3755</v>
      </c>
      <c r="BG37" s="111">
        <v>9</v>
      </c>
      <c r="BH37" s="111">
        <v>134000</v>
      </c>
      <c r="BI37" s="110" t="s">
        <v>3755</v>
      </c>
      <c r="BJ37" s="111">
        <v>6469</v>
      </c>
      <c r="BK37" s="111">
        <v>87334200</v>
      </c>
      <c r="BL37" s="110" t="s">
        <v>3755</v>
      </c>
      <c r="BM37" s="111">
        <v>2519</v>
      </c>
      <c r="BN37" s="111">
        <v>36798000</v>
      </c>
      <c r="BO37" s="110" t="s">
        <v>3755</v>
      </c>
      <c r="BP37" s="111">
        <v>1148</v>
      </c>
      <c r="BQ37" s="111">
        <v>16444000</v>
      </c>
      <c r="BR37" s="110" t="s">
        <v>3755</v>
      </c>
      <c r="BS37" s="111">
        <v>1680</v>
      </c>
      <c r="BT37" s="111">
        <v>22673300</v>
      </c>
      <c r="BU37" s="110" t="s">
        <v>3755</v>
      </c>
      <c r="BV37" s="111">
        <v>243</v>
      </c>
      <c r="BW37" s="111">
        <v>3339900</v>
      </c>
      <c r="BX37" s="110" t="s">
        <v>3755</v>
      </c>
      <c r="BY37" s="111">
        <v>1761</v>
      </c>
      <c r="BZ37" s="111">
        <v>24214100</v>
      </c>
      <c r="CA37" s="110">
        <v>0</v>
      </c>
      <c r="CB37" s="111"/>
      <c r="CC37" s="111"/>
      <c r="CD37" s="110">
        <v>0</v>
      </c>
      <c r="CE37" s="111">
        <v>0</v>
      </c>
      <c r="CF37" s="111">
        <v>0</v>
      </c>
      <c r="CG37" s="110" t="s">
        <v>3755</v>
      </c>
      <c r="CH37" s="111">
        <v>9391</v>
      </c>
      <c r="CI37" s="111">
        <v>133177000</v>
      </c>
      <c r="CJ37" s="110">
        <v>0</v>
      </c>
      <c r="CK37" s="112">
        <v>0</v>
      </c>
      <c r="CL37" s="111">
        <v>0</v>
      </c>
      <c r="CM37" s="111">
        <v>0</v>
      </c>
      <c r="CN37" s="141" t="s">
        <v>3933</v>
      </c>
      <c r="CO37" s="114" t="s">
        <v>3934</v>
      </c>
      <c r="CP37" s="110" t="s">
        <v>3765</v>
      </c>
      <c r="CQ37" s="111">
        <v>8395000</v>
      </c>
      <c r="CR37" s="141" t="s">
        <v>3935</v>
      </c>
      <c r="CS37" s="141" t="s">
        <v>3936</v>
      </c>
      <c r="CT37" s="110" t="s">
        <v>3761</v>
      </c>
      <c r="CU37" s="111">
        <v>959000</v>
      </c>
      <c r="CV37" s="141" t="s">
        <v>3937</v>
      </c>
      <c r="CW37" s="141" t="s">
        <v>3938</v>
      </c>
      <c r="CX37" s="110" t="s">
        <v>3761</v>
      </c>
      <c r="CY37" s="111">
        <v>10823000</v>
      </c>
      <c r="CZ37" s="110" t="s">
        <v>3755</v>
      </c>
      <c r="DA37" s="110" t="s">
        <v>3755</v>
      </c>
      <c r="DB37" s="110" t="s">
        <v>3755</v>
      </c>
      <c r="DC37" s="112">
        <v>0</v>
      </c>
      <c r="DD37" s="115" t="s">
        <v>3716</v>
      </c>
      <c r="DE37" s="109" t="s">
        <v>3939</v>
      </c>
      <c r="DF37" s="144" t="s">
        <v>3716</v>
      </c>
    </row>
    <row r="38" spans="1:110" ht="35.1" customHeight="1" x14ac:dyDescent="0.2">
      <c r="A38" s="121" t="s">
        <v>1308</v>
      </c>
      <c r="B38" s="118" t="s">
        <v>1261</v>
      </c>
      <c r="C38" s="118" t="s">
        <v>1309</v>
      </c>
      <c r="D38" s="111">
        <v>13916</v>
      </c>
      <c r="E38" s="111">
        <v>224620000</v>
      </c>
      <c r="F38" s="111">
        <v>13916</v>
      </c>
      <c r="G38" s="111">
        <v>224620000</v>
      </c>
      <c r="H38" s="111">
        <v>3604</v>
      </c>
      <c r="I38" s="111">
        <v>49097000</v>
      </c>
      <c r="J38" s="111">
        <v>0</v>
      </c>
      <c r="K38" s="111">
        <v>0</v>
      </c>
      <c r="L38" s="111">
        <v>75923670</v>
      </c>
      <c r="M38" s="111">
        <v>24664559</v>
      </c>
      <c r="N38" s="111">
        <v>2435261</v>
      </c>
      <c r="O38" s="111">
        <v>3996631</v>
      </c>
      <c r="P38" s="111">
        <v>27977406</v>
      </c>
      <c r="Q38" s="111">
        <v>35482</v>
      </c>
      <c r="R38" s="111">
        <v>135033009</v>
      </c>
      <c r="S38" s="146">
        <v>0.33800939364259641</v>
      </c>
      <c r="T38" s="146">
        <v>0.1098057118689342</v>
      </c>
      <c r="U38" s="146">
        <v>1.0841692636452675E-2</v>
      </c>
      <c r="V38" s="146">
        <v>1.7792854598878104E-2</v>
      </c>
      <c r="W38" s="146">
        <v>0.12455438518386608</v>
      </c>
      <c r="X38" s="146">
        <v>1.5796456237200605E-4</v>
      </c>
      <c r="Y38" s="146">
        <v>0.60116200249309948</v>
      </c>
      <c r="Z38" s="112" t="s">
        <v>3940</v>
      </c>
      <c r="AA38" s="115" t="s">
        <v>3716</v>
      </c>
      <c r="AB38" s="115">
        <v>0</v>
      </c>
      <c r="AC38" s="110" t="s">
        <v>3716</v>
      </c>
      <c r="AD38" s="115">
        <v>0</v>
      </c>
      <c r="AE38" s="110">
        <v>0</v>
      </c>
      <c r="AF38" s="110" t="s">
        <v>3755</v>
      </c>
      <c r="AG38" s="115" t="s">
        <v>3756</v>
      </c>
      <c r="AH38" s="115" t="s">
        <v>3762</v>
      </c>
      <c r="AI38" s="113"/>
      <c r="AJ38" s="116"/>
      <c r="AK38" s="109">
        <v>0</v>
      </c>
      <c r="AL38" s="109">
        <v>0</v>
      </c>
      <c r="AM38" s="115">
        <v>0</v>
      </c>
      <c r="AN38" s="115">
        <v>0</v>
      </c>
      <c r="AO38" s="112">
        <v>0</v>
      </c>
      <c r="AP38" s="112">
        <v>0</v>
      </c>
      <c r="AQ38" s="145">
        <v>0</v>
      </c>
      <c r="AR38" s="109">
        <v>0</v>
      </c>
      <c r="AS38" s="115">
        <v>0</v>
      </c>
      <c r="AT38" s="115">
        <v>0</v>
      </c>
      <c r="AU38" s="112">
        <v>0</v>
      </c>
      <c r="AV38" s="112">
        <v>0</v>
      </c>
      <c r="AW38" s="145">
        <v>0</v>
      </c>
      <c r="AX38" s="109">
        <v>0</v>
      </c>
      <c r="AY38" s="115">
        <v>0</v>
      </c>
      <c r="AZ38" s="115">
        <v>0</v>
      </c>
      <c r="BA38" s="112">
        <v>0</v>
      </c>
      <c r="BB38" s="112">
        <v>0</v>
      </c>
      <c r="BC38" s="110" t="s">
        <v>3755</v>
      </c>
      <c r="BD38" s="111">
        <v>1426</v>
      </c>
      <c r="BE38" s="111">
        <v>21805000</v>
      </c>
      <c r="BF38" s="110">
        <v>0</v>
      </c>
      <c r="BG38" s="111"/>
      <c r="BH38" s="111"/>
      <c r="BI38" s="110">
        <v>0</v>
      </c>
      <c r="BJ38" s="111"/>
      <c r="BK38" s="111"/>
      <c r="BL38" s="110">
        <v>0</v>
      </c>
      <c r="BM38" s="111"/>
      <c r="BN38" s="111"/>
      <c r="BO38" s="110">
        <v>0</v>
      </c>
      <c r="BP38" s="111"/>
      <c r="BQ38" s="111"/>
      <c r="BR38" s="110" t="s">
        <v>3755</v>
      </c>
      <c r="BS38" s="111">
        <v>4968</v>
      </c>
      <c r="BT38" s="111">
        <v>78948000</v>
      </c>
      <c r="BU38" s="110" t="s">
        <v>3755</v>
      </c>
      <c r="BV38" s="111">
        <v>3278</v>
      </c>
      <c r="BW38" s="111">
        <v>47216000</v>
      </c>
      <c r="BX38" s="110">
        <v>0</v>
      </c>
      <c r="BY38" s="111"/>
      <c r="BZ38" s="111"/>
      <c r="CA38" s="110">
        <v>0</v>
      </c>
      <c r="CB38" s="111"/>
      <c r="CC38" s="111"/>
      <c r="CD38" s="110">
        <v>0</v>
      </c>
      <c r="CE38" s="111"/>
      <c r="CF38" s="111"/>
      <c r="CG38" s="110" t="s">
        <v>3755</v>
      </c>
      <c r="CH38" s="111">
        <v>4244</v>
      </c>
      <c r="CI38" s="111">
        <v>76651000</v>
      </c>
      <c r="CJ38" s="110">
        <v>0</v>
      </c>
      <c r="CK38" s="112">
        <v>0</v>
      </c>
      <c r="CL38" s="111"/>
      <c r="CM38" s="111"/>
      <c r="CN38" s="141">
        <v>0</v>
      </c>
      <c r="CO38" s="114">
        <v>0</v>
      </c>
      <c r="CP38" s="110">
        <v>0</v>
      </c>
      <c r="CQ38" s="111">
        <v>0</v>
      </c>
      <c r="CR38" s="141">
        <v>0</v>
      </c>
      <c r="CS38" s="141">
        <v>0</v>
      </c>
      <c r="CT38" s="110">
        <v>0</v>
      </c>
      <c r="CU38" s="111">
        <v>0</v>
      </c>
      <c r="CV38" s="141">
        <v>0</v>
      </c>
      <c r="CW38" s="141">
        <v>0</v>
      </c>
      <c r="CX38" s="110">
        <v>0</v>
      </c>
      <c r="CY38" s="111">
        <v>0</v>
      </c>
      <c r="CZ38" s="110" t="s">
        <v>3755</v>
      </c>
      <c r="DA38" s="110" t="s">
        <v>3755</v>
      </c>
      <c r="DB38" s="110">
        <v>0</v>
      </c>
      <c r="DC38" s="112" t="s">
        <v>3941</v>
      </c>
      <c r="DD38" s="115" t="s">
        <v>3762</v>
      </c>
      <c r="DE38" s="109">
        <v>0</v>
      </c>
      <c r="DF38" s="144" t="s">
        <v>3716</v>
      </c>
    </row>
    <row r="39" spans="1:110" ht="35.1" customHeight="1" x14ac:dyDescent="0.2">
      <c r="A39" s="121" t="s">
        <v>1310</v>
      </c>
      <c r="B39" s="118" t="s">
        <v>1261</v>
      </c>
      <c r="C39" s="118" t="s">
        <v>1311</v>
      </c>
      <c r="D39" s="111">
        <v>13895</v>
      </c>
      <c r="E39" s="111">
        <v>1195235353</v>
      </c>
      <c r="F39" s="111">
        <v>13587</v>
      </c>
      <c r="G39" s="111">
        <v>1191872434</v>
      </c>
      <c r="H39" s="111">
        <v>5331</v>
      </c>
      <c r="I39" s="111">
        <v>319357610</v>
      </c>
      <c r="J39" s="111">
        <v>0</v>
      </c>
      <c r="K39" s="111">
        <v>0</v>
      </c>
      <c r="L39" s="111">
        <v>355948079</v>
      </c>
      <c r="M39" s="111">
        <v>2510544</v>
      </c>
      <c r="N39" s="111">
        <v>0</v>
      </c>
      <c r="O39" s="111">
        <v>23518149</v>
      </c>
      <c r="P39" s="111">
        <v>198408769</v>
      </c>
      <c r="Q39" s="111">
        <v>0</v>
      </c>
      <c r="R39" s="111">
        <v>580385541</v>
      </c>
      <c r="S39" s="146">
        <v>0.29780584895400092</v>
      </c>
      <c r="T39" s="146">
        <v>2.1004599585333719E-3</v>
      </c>
      <c r="U39" s="146">
        <v>0</v>
      </c>
      <c r="V39" s="146">
        <v>1.967658414802595E-2</v>
      </c>
      <c r="W39" s="146">
        <v>0.16599974933974362</v>
      </c>
      <c r="X39" s="146">
        <v>0</v>
      </c>
      <c r="Y39" s="146">
        <v>0.48558264240030391</v>
      </c>
      <c r="Z39" s="112">
        <v>0</v>
      </c>
      <c r="AA39" s="115" t="s">
        <v>3716</v>
      </c>
      <c r="AB39" s="115">
        <v>0</v>
      </c>
      <c r="AC39" s="110" t="s">
        <v>3716</v>
      </c>
      <c r="AD39" s="115">
        <v>0</v>
      </c>
      <c r="AE39" s="110" t="s">
        <v>3755</v>
      </c>
      <c r="AF39" s="110" t="s">
        <v>3755</v>
      </c>
      <c r="AG39" s="115" t="s">
        <v>3716</v>
      </c>
      <c r="AH39" s="115" t="s">
        <v>3756</v>
      </c>
      <c r="AI39" s="116">
        <v>1</v>
      </c>
      <c r="AJ39" s="116">
        <v>7082783</v>
      </c>
      <c r="AK39" s="109" t="s">
        <v>3942</v>
      </c>
      <c r="AL39" s="109" t="s">
        <v>3943</v>
      </c>
      <c r="AM39" s="115" t="s">
        <v>3757</v>
      </c>
      <c r="AN39" s="115" t="s">
        <v>3716</v>
      </c>
      <c r="AO39" s="112">
        <v>6000000</v>
      </c>
      <c r="AP39" s="112">
        <v>7082783</v>
      </c>
      <c r="AQ39" s="145">
        <v>0</v>
      </c>
      <c r="AR39" s="112">
        <v>0</v>
      </c>
      <c r="AS39" s="115">
        <v>0</v>
      </c>
      <c r="AT39" s="115">
        <v>0</v>
      </c>
      <c r="AU39" s="112">
        <v>0</v>
      </c>
      <c r="AV39" s="112">
        <v>0</v>
      </c>
      <c r="AW39" s="145">
        <v>0</v>
      </c>
      <c r="AX39" s="112">
        <v>0</v>
      </c>
      <c r="AY39" s="115">
        <v>0</v>
      </c>
      <c r="AZ39" s="115">
        <v>0</v>
      </c>
      <c r="BA39" s="112">
        <v>0</v>
      </c>
      <c r="BB39" s="112">
        <v>0</v>
      </c>
      <c r="BC39" s="110">
        <v>0</v>
      </c>
      <c r="BD39" s="111"/>
      <c r="BE39" s="111"/>
      <c r="BF39" s="110">
        <v>0</v>
      </c>
      <c r="BG39" s="111"/>
      <c r="BH39" s="111"/>
      <c r="BI39" s="110" t="s">
        <v>3755</v>
      </c>
      <c r="BJ39" s="111">
        <v>831</v>
      </c>
      <c r="BK39" s="111">
        <v>61552200</v>
      </c>
      <c r="BL39" s="110">
        <v>0</v>
      </c>
      <c r="BM39" s="111"/>
      <c r="BN39" s="111"/>
      <c r="BO39" s="110">
        <v>0</v>
      </c>
      <c r="BP39" s="111"/>
      <c r="BQ39" s="111"/>
      <c r="BR39" s="110" t="s">
        <v>3755</v>
      </c>
      <c r="BS39" s="111">
        <v>6138</v>
      </c>
      <c r="BT39" s="111">
        <v>587540600</v>
      </c>
      <c r="BU39" s="110">
        <v>0</v>
      </c>
      <c r="BV39" s="111"/>
      <c r="BW39" s="111"/>
      <c r="BX39" s="110" t="s">
        <v>3755</v>
      </c>
      <c r="BY39" s="111">
        <v>1391</v>
      </c>
      <c r="BZ39" s="111">
        <v>92572000</v>
      </c>
      <c r="CA39" s="110" t="s">
        <v>3755</v>
      </c>
      <c r="CB39" s="111">
        <v>2876</v>
      </c>
      <c r="CC39" s="111">
        <v>188690283</v>
      </c>
      <c r="CD39" s="110">
        <v>0</v>
      </c>
      <c r="CE39" s="111">
        <v>0</v>
      </c>
      <c r="CF39" s="111">
        <v>0</v>
      </c>
      <c r="CG39" s="110" t="s">
        <v>3755</v>
      </c>
      <c r="CH39" s="111">
        <v>2563</v>
      </c>
      <c r="CI39" s="111">
        <v>257064270</v>
      </c>
      <c r="CJ39" s="110" t="s">
        <v>3755</v>
      </c>
      <c r="CK39" s="112" t="s">
        <v>3944</v>
      </c>
      <c r="CL39" s="111">
        <v>96</v>
      </c>
      <c r="CM39" s="111">
        <v>7816000</v>
      </c>
      <c r="CN39" s="141" t="s">
        <v>3945</v>
      </c>
      <c r="CO39" s="114" t="s">
        <v>3946</v>
      </c>
      <c r="CP39" s="110" t="s">
        <v>3760</v>
      </c>
      <c r="CQ39" s="111">
        <v>587540600</v>
      </c>
      <c r="CR39" s="141" t="s">
        <v>3947</v>
      </c>
      <c r="CS39" s="141" t="s">
        <v>3948</v>
      </c>
      <c r="CT39" s="110" t="s">
        <v>3771</v>
      </c>
      <c r="CU39" s="111">
        <v>188690283</v>
      </c>
      <c r="CV39" s="141" t="s">
        <v>3949</v>
      </c>
      <c r="CW39" s="141" t="s">
        <v>3950</v>
      </c>
      <c r="CX39" s="110" t="s">
        <v>3761</v>
      </c>
      <c r="CY39" s="111">
        <v>92572000</v>
      </c>
      <c r="CZ39" s="110" t="s">
        <v>3755</v>
      </c>
      <c r="DA39" s="110" t="s">
        <v>3755</v>
      </c>
      <c r="DB39" s="110">
        <v>0</v>
      </c>
      <c r="DC39" s="112" t="s">
        <v>3951</v>
      </c>
      <c r="DD39" s="115" t="s">
        <v>3716</v>
      </c>
      <c r="DE39" s="109" t="s">
        <v>3952</v>
      </c>
      <c r="DF39" s="144" t="s">
        <v>3716</v>
      </c>
    </row>
    <row r="40" spans="1:110" ht="35.1" customHeight="1" x14ac:dyDescent="0.2">
      <c r="A40" s="121" t="s">
        <v>1312</v>
      </c>
      <c r="B40" s="118" t="s">
        <v>1261</v>
      </c>
      <c r="C40" s="118" t="s">
        <v>1313</v>
      </c>
      <c r="D40" s="111">
        <v>1181</v>
      </c>
      <c r="E40" s="111">
        <v>28575000</v>
      </c>
      <c r="F40" s="111">
        <v>1151</v>
      </c>
      <c r="G40" s="111">
        <v>20903000</v>
      </c>
      <c r="H40" s="111">
        <v>283</v>
      </c>
      <c r="I40" s="111">
        <v>5727000</v>
      </c>
      <c r="J40" s="111">
        <v>0</v>
      </c>
      <c r="K40" s="111">
        <v>0</v>
      </c>
      <c r="L40" s="111">
        <v>6386000</v>
      </c>
      <c r="M40" s="111">
        <v>1575000</v>
      </c>
      <c r="N40" s="111">
        <v>0</v>
      </c>
      <c r="O40" s="111">
        <v>539000</v>
      </c>
      <c r="P40" s="111">
        <v>3809000</v>
      </c>
      <c r="Q40" s="111">
        <v>0</v>
      </c>
      <c r="R40" s="111">
        <v>12309000</v>
      </c>
      <c r="S40" s="146">
        <v>0.22348206474190727</v>
      </c>
      <c r="T40" s="146">
        <v>5.5118110236220472E-2</v>
      </c>
      <c r="U40" s="146">
        <v>0</v>
      </c>
      <c r="V40" s="146">
        <v>1.8862642169728785E-2</v>
      </c>
      <c r="W40" s="146">
        <v>0.13329833770778651</v>
      </c>
      <c r="X40" s="146">
        <v>0</v>
      </c>
      <c r="Y40" s="146">
        <v>0.43076115485564304</v>
      </c>
      <c r="Z40" s="112">
        <v>0</v>
      </c>
      <c r="AA40" s="115" t="s">
        <v>3716</v>
      </c>
      <c r="AB40" s="115">
        <v>0</v>
      </c>
      <c r="AC40" s="110" t="s">
        <v>3716</v>
      </c>
      <c r="AD40" s="115">
        <v>0</v>
      </c>
      <c r="AE40" s="110" t="s">
        <v>3755</v>
      </c>
      <c r="AF40" s="110" t="s">
        <v>3755</v>
      </c>
      <c r="AG40" s="115" t="s">
        <v>3716</v>
      </c>
      <c r="AH40" s="115" t="s">
        <v>3756</v>
      </c>
      <c r="AI40" s="116">
        <v>4</v>
      </c>
      <c r="AJ40" s="116">
        <v>8620000</v>
      </c>
      <c r="AK40" s="109" t="s">
        <v>3953</v>
      </c>
      <c r="AL40" s="109" t="s">
        <v>3954</v>
      </c>
      <c r="AM40" s="115" t="s">
        <v>3759</v>
      </c>
      <c r="AN40" s="115" t="s">
        <v>3761</v>
      </c>
      <c r="AO40" s="112">
        <v>150000000</v>
      </c>
      <c r="AP40" s="112">
        <v>1419000</v>
      </c>
      <c r="AQ40" s="145" t="s">
        <v>3955</v>
      </c>
      <c r="AR40" s="112" t="s">
        <v>3956</v>
      </c>
      <c r="AS40" s="115" t="s">
        <v>3759</v>
      </c>
      <c r="AT40" s="115" t="s">
        <v>3716</v>
      </c>
      <c r="AU40" s="112">
        <v>2410000</v>
      </c>
      <c r="AV40" s="112">
        <v>1134000</v>
      </c>
      <c r="AW40" s="145" t="s">
        <v>3957</v>
      </c>
      <c r="AX40" s="112" t="s">
        <v>3958</v>
      </c>
      <c r="AY40" s="115" t="s">
        <v>3759</v>
      </c>
      <c r="AZ40" s="115" t="s">
        <v>3765</v>
      </c>
      <c r="BA40" s="112">
        <v>4730000</v>
      </c>
      <c r="BB40" s="112">
        <v>4446000</v>
      </c>
      <c r="BC40" s="110">
        <v>0</v>
      </c>
      <c r="BD40" s="111"/>
      <c r="BE40" s="111"/>
      <c r="BF40" s="110">
        <v>0</v>
      </c>
      <c r="BG40" s="111"/>
      <c r="BH40" s="111"/>
      <c r="BI40" s="110">
        <v>0</v>
      </c>
      <c r="BJ40" s="111"/>
      <c r="BK40" s="111"/>
      <c r="BL40" s="110" t="s">
        <v>3755</v>
      </c>
      <c r="BM40" s="111">
        <v>102</v>
      </c>
      <c r="BN40" s="111">
        <v>1912000</v>
      </c>
      <c r="BO40" s="110" t="s">
        <v>3755</v>
      </c>
      <c r="BP40" s="111">
        <v>51</v>
      </c>
      <c r="BQ40" s="111">
        <v>2082000</v>
      </c>
      <c r="BR40" s="110">
        <v>0</v>
      </c>
      <c r="BS40" s="111"/>
      <c r="BT40" s="111"/>
      <c r="BU40" s="110" t="s">
        <v>3755</v>
      </c>
      <c r="BV40" s="111">
        <v>49</v>
      </c>
      <c r="BW40" s="111">
        <v>961000</v>
      </c>
      <c r="BX40" s="110" t="s">
        <v>3755</v>
      </c>
      <c r="BY40" s="111">
        <v>21</v>
      </c>
      <c r="BZ40" s="111">
        <v>1838000</v>
      </c>
      <c r="CA40" s="110" t="s">
        <v>3755</v>
      </c>
      <c r="CB40" s="111">
        <v>70</v>
      </c>
      <c r="CC40" s="111">
        <v>2241000</v>
      </c>
      <c r="CD40" s="110">
        <v>0</v>
      </c>
      <c r="CE40" s="111">
        <v>0</v>
      </c>
      <c r="CF40" s="111">
        <v>0</v>
      </c>
      <c r="CG40" s="110" t="s">
        <v>3755</v>
      </c>
      <c r="CH40" s="111">
        <v>325</v>
      </c>
      <c r="CI40" s="111">
        <v>20979500</v>
      </c>
      <c r="CJ40" s="110" t="s">
        <v>3755</v>
      </c>
      <c r="CK40" s="112" t="s">
        <v>3959</v>
      </c>
      <c r="CL40" s="111">
        <v>108</v>
      </c>
      <c r="CM40" s="111">
        <v>2022000</v>
      </c>
      <c r="CN40" s="141" t="s">
        <v>3960</v>
      </c>
      <c r="CO40" s="114" t="s">
        <v>3961</v>
      </c>
      <c r="CP40" s="110" t="s">
        <v>3768</v>
      </c>
      <c r="CQ40" s="111">
        <v>20980000</v>
      </c>
      <c r="CR40" s="141" t="s">
        <v>3962</v>
      </c>
      <c r="CS40" s="141" t="s">
        <v>3963</v>
      </c>
      <c r="CT40" s="110" t="s">
        <v>3764</v>
      </c>
      <c r="CU40" s="111">
        <v>2022000</v>
      </c>
      <c r="CV40" s="141" t="s">
        <v>3964</v>
      </c>
      <c r="CW40" s="141" t="s">
        <v>3965</v>
      </c>
      <c r="CX40" s="110" t="s">
        <v>3758</v>
      </c>
      <c r="CY40" s="111">
        <v>1912000</v>
      </c>
      <c r="CZ40" s="110" t="s">
        <v>3755</v>
      </c>
      <c r="DA40" s="110">
        <v>0</v>
      </c>
      <c r="DB40" s="110">
        <v>0</v>
      </c>
      <c r="DC40" s="112" t="s">
        <v>3966</v>
      </c>
      <c r="DD40" s="115" t="s">
        <v>3762</v>
      </c>
      <c r="DE40" s="109">
        <v>0</v>
      </c>
      <c r="DF40" s="144" t="s">
        <v>3716</v>
      </c>
    </row>
    <row r="41" spans="1:110" ht="35.1" customHeight="1" x14ac:dyDescent="0.2">
      <c r="A41" s="121" t="s">
        <v>1314</v>
      </c>
      <c r="B41" s="118" t="s">
        <v>1261</v>
      </c>
      <c r="C41" s="118" t="s">
        <v>1315</v>
      </c>
      <c r="D41" s="111">
        <v>3371</v>
      </c>
      <c r="E41" s="111">
        <v>70647000</v>
      </c>
      <c r="F41" s="111">
        <v>3371</v>
      </c>
      <c r="G41" s="111">
        <v>70647000</v>
      </c>
      <c r="H41" s="111">
        <v>440</v>
      </c>
      <c r="I41" s="111">
        <v>8274000</v>
      </c>
      <c r="J41" s="111">
        <v>0</v>
      </c>
      <c r="K41" s="111">
        <v>0</v>
      </c>
      <c r="L41" s="111">
        <v>18642432</v>
      </c>
      <c r="M41" s="111">
        <v>2497335</v>
      </c>
      <c r="N41" s="111">
        <v>0</v>
      </c>
      <c r="O41" s="111">
        <v>240241</v>
      </c>
      <c r="P41" s="111">
        <v>13213050</v>
      </c>
      <c r="Q41" s="111">
        <v>0</v>
      </c>
      <c r="R41" s="111">
        <v>34593058</v>
      </c>
      <c r="S41" s="146">
        <v>0.26388143870228037</v>
      </c>
      <c r="T41" s="146">
        <v>3.5349484054524608E-2</v>
      </c>
      <c r="U41" s="146">
        <v>0</v>
      </c>
      <c r="V41" s="146">
        <v>3.4005831811683442E-3</v>
      </c>
      <c r="W41" s="146">
        <v>0.18702917321329993</v>
      </c>
      <c r="X41" s="146">
        <v>0</v>
      </c>
      <c r="Y41" s="146">
        <v>0.48966067915127326</v>
      </c>
      <c r="Z41" s="112">
        <v>0</v>
      </c>
      <c r="AA41" s="115" t="s">
        <v>3716</v>
      </c>
      <c r="AB41" s="115">
        <v>0</v>
      </c>
      <c r="AC41" s="110" t="s">
        <v>3716</v>
      </c>
      <c r="AD41" s="115">
        <v>0</v>
      </c>
      <c r="AE41" s="110">
        <v>0</v>
      </c>
      <c r="AF41" s="110" t="s">
        <v>3755</v>
      </c>
      <c r="AG41" s="115" t="s">
        <v>3756</v>
      </c>
      <c r="AH41" s="115" t="s">
        <v>3756</v>
      </c>
      <c r="AI41" s="113"/>
      <c r="AJ41" s="116"/>
      <c r="AK41" s="109">
        <v>0</v>
      </c>
      <c r="AL41" s="109">
        <v>0</v>
      </c>
      <c r="AM41" s="115">
        <v>0</v>
      </c>
      <c r="AN41" s="115">
        <v>0</v>
      </c>
      <c r="AO41" s="112">
        <v>0</v>
      </c>
      <c r="AP41" s="112">
        <v>0</v>
      </c>
      <c r="AQ41" s="145">
        <v>0</v>
      </c>
      <c r="AR41" s="109">
        <v>0</v>
      </c>
      <c r="AS41" s="115">
        <v>0</v>
      </c>
      <c r="AT41" s="115">
        <v>0</v>
      </c>
      <c r="AU41" s="112">
        <v>0</v>
      </c>
      <c r="AV41" s="112">
        <v>0</v>
      </c>
      <c r="AW41" s="145">
        <v>0</v>
      </c>
      <c r="AX41" s="109">
        <v>0</v>
      </c>
      <c r="AY41" s="115">
        <v>0</v>
      </c>
      <c r="AZ41" s="115">
        <v>0</v>
      </c>
      <c r="BA41" s="112">
        <v>0</v>
      </c>
      <c r="BB41" s="112">
        <v>0</v>
      </c>
      <c r="BC41" s="110" t="s">
        <v>3755</v>
      </c>
      <c r="BD41" s="111">
        <v>16</v>
      </c>
      <c r="BE41" s="111">
        <v>444000</v>
      </c>
      <c r="BF41" s="110">
        <v>0</v>
      </c>
      <c r="BG41" s="111"/>
      <c r="BH41" s="111"/>
      <c r="BI41" s="110" t="s">
        <v>3755</v>
      </c>
      <c r="BJ41" s="111">
        <v>246</v>
      </c>
      <c r="BK41" s="111">
        <v>6018000</v>
      </c>
      <c r="BL41" s="110">
        <v>0</v>
      </c>
      <c r="BM41" s="111"/>
      <c r="BN41" s="111"/>
      <c r="BO41" s="110">
        <v>0</v>
      </c>
      <c r="BP41" s="111"/>
      <c r="BQ41" s="111"/>
      <c r="BR41" s="110" t="s">
        <v>3755</v>
      </c>
      <c r="BS41" s="111">
        <v>1051</v>
      </c>
      <c r="BT41" s="111">
        <v>20618000</v>
      </c>
      <c r="BU41" s="110">
        <v>0</v>
      </c>
      <c r="BV41" s="111"/>
      <c r="BW41" s="111"/>
      <c r="BX41" s="110" t="s">
        <v>3755</v>
      </c>
      <c r="BY41" s="111">
        <v>136</v>
      </c>
      <c r="BZ41" s="111">
        <v>2456000</v>
      </c>
      <c r="CA41" s="110" t="s">
        <v>3755</v>
      </c>
      <c r="CB41" s="111">
        <v>145</v>
      </c>
      <c r="CC41" s="111">
        <v>2819000</v>
      </c>
      <c r="CD41" s="110">
        <v>0</v>
      </c>
      <c r="CE41" s="111"/>
      <c r="CF41" s="111"/>
      <c r="CG41" s="110" t="s">
        <v>3755</v>
      </c>
      <c r="CH41" s="111">
        <v>1690</v>
      </c>
      <c r="CI41" s="111">
        <v>36215000</v>
      </c>
      <c r="CJ41" s="110" t="s">
        <v>3755</v>
      </c>
      <c r="CK41" s="112" t="s">
        <v>3967</v>
      </c>
      <c r="CL41" s="111">
        <v>87</v>
      </c>
      <c r="CM41" s="111">
        <v>2077000</v>
      </c>
      <c r="CN41" s="141" t="s">
        <v>3770</v>
      </c>
      <c r="CO41" s="114" t="s">
        <v>3968</v>
      </c>
      <c r="CP41" s="110" t="s">
        <v>3765</v>
      </c>
      <c r="CQ41" s="111">
        <v>39296000</v>
      </c>
      <c r="CR41" s="141" t="s">
        <v>3969</v>
      </c>
      <c r="CS41" s="141" t="s">
        <v>3970</v>
      </c>
      <c r="CT41" s="110" t="s">
        <v>3763</v>
      </c>
      <c r="CU41" s="111">
        <v>12348000</v>
      </c>
      <c r="CV41" s="141" t="s">
        <v>3971</v>
      </c>
      <c r="CW41" s="141" t="s">
        <v>3972</v>
      </c>
      <c r="CX41" s="110" t="s">
        <v>3761</v>
      </c>
      <c r="CY41" s="111">
        <v>5039000</v>
      </c>
      <c r="CZ41" s="110" t="s">
        <v>3755</v>
      </c>
      <c r="DA41" s="110" t="s">
        <v>3755</v>
      </c>
      <c r="DB41" s="110" t="s">
        <v>3755</v>
      </c>
      <c r="DC41" s="112">
        <v>0</v>
      </c>
      <c r="DD41" s="115" t="s">
        <v>3762</v>
      </c>
      <c r="DE41" s="109">
        <v>0</v>
      </c>
      <c r="DF41" s="144" t="s">
        <v>3716</v>
      </c>
    </row>
    <row r="42" spans="1:110" ht="35.1" customHeight="1" x14ac:dyDescent="0.2">
      <c r="A42" s="121" t="s">
        <v>1316</v>
      </c>
      <c r="B42" s="118" t="s">
        <v>1261</v>
      </c>
      <c r="C42" s="118" t="s">
        <v>1317</v>
      </c>
      <c r="D42" s="111">
        <v>5458</v>
      </c>
      <c r="E42" s="111">
        <v>81364000</v>
      </c>
      <c r="F42" s="111">
        <v>5447</v>
      </c>
      <c r="G42" s="111">
        <v>81169000</v>
      </c>
      <c r="H42" s="111">
        <v>766</v>
      </c>
      <c r="I42" s="111">
        <v>10269000</v>
      </c>
      <c r="J42" s="111">
        <v>0</v>
      </c>
      <c r="K42" s="111">
        <v>0</v>
      </c>
      <c r="L42" s="111">
        <v>20545314</v>
      </c>
      <c r="M42" s="111">
        <v>5566429</v>
      </c>
      <c r="N42" s="111">
        <v>0</v>
      </c>
      <c r="O42" s="111">
        <v>1007862</v>
      </c>
      <c r="P42" s="111">
        <v>12598399</v>
      </c>
      <c r="Q42" s="111">
        <v>0</v>
      </c>
      <c r="R42" s="111">
        <v>39718004</v>
      </c>
      <c r="S42" s="146">
        <v>0.25251111056486897</v>
      </c>
      <c r="T42" s="146">
        <v>6.8413905412713236E-2</v>
      </c>
      <c r="U42" s="146">
        <v>0</v>
      </c>
      <c r="V42" s="146">
        <v>1.2387075365026302E-2</v>
      </c>
      <c r="W42" s="146">
        <v>0.15483996607836389</v>
      </c>
      <c r="X42" s="146">
        <v>0</v>
      </c>
      <c r="Y42" s="146">
        <v>0.4881520574209724</v>
      </c>
      <c r="Z42" s="112">
        <v>0</v>
      </c>
      <c r="AA42" s="115" t="s">
        <v>3716</v>
      </c>
      <c r="AB42" s="115">
        <v>0</v>
      </c>
      <c r="AC42" s="110" t="s">
        <v>3716</v>
      </c>
      <c r="AD42" s="115">
        <v>0</v>
      </c>
      <c r="AE42" s="110">
        <v>0</v>
      </c>
      <c r="AF42" s="110" t="s">
        <v>3755</v>
      </c>
      <c r="AG42" s="115" t="s">
        <v>3756</v>
      </c>
      <c r="AH42" s="115" t="s">
        <v>3756</v>
      </c>
      <c r="AI42" s="113"/>
      <c r="AJ42" s="116"/>
      <c r="AK42" s="109">
        <v>0</v>
      </c>
      <c r="AL42" s="109">
        <v>0</v>
      </c>
      <c r="AM42" s="115">
        <v>0</v>
      </c>
      <c r="AN42" s="115">
        <v>0</v>
      </c>
      <c r="AO42" s="112">
        <v>0</v>
      </c>
      <c r="AP42" s="112">
        <v>0</v>
      </c>
      <c r="AQ42" s="145">
        <v>0</v>
      </c>
      <c r="AR42" s="109">
        <v>0</v>
      </c>
      <c r="AS42" s="115">
        <v>0</v>
      </c>
      <c r="AT42" s="115">
        <v>0</v>
      </c>
      <c r="AU42" s="112">
        <v>0</v>
      </c>
      <c r="AV42" s="112">
        <v>0</v>
      </c>
      <c r="AW42" s="145">
        <v>0</v>
      </c>
      <c r="AX42" s="109">
        <v>0</v>
      </c>
      <c r="AY42" s="115">
        <v>0</v>
      </c>
      <c r="AZ42" s="115">
        <v>0</v>
      </c>
      <c r="BA42" s="112">
        <v>0</v>
      </c>
      <c r="BB42" s="112">
        <v>0</v>
      </c>
      <c r="BC42" s="110" t="s">
        <v>3755</v>
      </c>
      <c r="BD42" s="111">
        <v>30</v>
      </c>
      <c r="BE42" s="111">
        <v>358000</v>
      </c>
      <c r="BF42" s="110"/>
      <c r="BG42" s="111"/>
      <c r="BH42" s="111"/>
      <c r="BI42" s="110"/>
      <c r="BJ42" s="111"/>
      <c r="BK42" s="111"/>
      <c r="BL42" s="110" t="s">
        <v>3755</v>
      </c>
      <c r="BM42" s="111">
        <v>580</v>
      </c>
      <c r="BN42" s="111">
        <v>9107000</v>
      </c>
      <c r="BO42" s="110"/>
      <c r="BP42" s="111"/>
      <c r="BQ42" s="111"/>
      <c r="BR42" s="110"/>
      <c r="BS42" s="111"/>
      <c r="BT42" s="111"/>
      <c r="BU42" s="110" t="s">
        <v>3755</v>
      </c>
      <c r="BV42" s="111">
        <v>311</v>
      </c>
      <c r="BW42" s="111">
        <v>4486000</v>
      </c>
      <c r="BX42" s="110" t="s">
        <v>3755</v>
      </c>
      <c r="BY42" s="111">
        <v>74</v>
      </c>
      <c r="BZ42" s="111">
        <v>1121000</v>
      </c>
      <c r="CA42" s="110" t="s">
        <v>3755</v>
      </c>
      <c r="CB42" s="111">
        <v>328</v>
      </c>
      <c r="CC42" s="111">
        <v>4911000</v>
      </c>
      <c r="CD42" s="110">
        <v>0</v>
      </c>
      <c r="CE42" s="111"/>
      <c r="CF42" s="111"/>
      <c r="CG42" s="110" t="s">
        <v>3755</v>
      </c>
      <c r="CH42" s="111">
        <v>2621</v>
      </c>
      <c r="CI42" s="111">
        <v>40166000</v>
      </c>
      <c r="CJ42" s="110" t="s">
        <v>3755</v>
      </c>
      <c r="CK42" s="112" t="s">
        <v>3973</v>
      </c>
      <c r="CL42" s="111">
        <v>1514</v>
      </c>
      <c r="CM42" s="111">
        <v>21215000</v>
      </c>
      <c r="CN42" s="141" t="s">
        <v>3974</v>
      </c>
      <c r="CO42" s="114" t="s">
        <v>3975</v>
      </c>
      <c r="CP42" s="110" t="s">
        <v>3768</v>
      </c>
      <c r="CQ42" s="111">
        <v>22095000</v>
      </c>
      <c r="CR42" s="141" t="s">
        <v>3976</v>
      </c>
      <c r="CS42" s="141" t="s">
        <v>3977</v>
      </c>
      <c r="CT42" s="110" t="s">
        <v>3767</v>
      </c>
      <c r="CU42" s="111">
        <v>1559000</v>
      </c>
      <c r="CV42" s="141" t="s">
        <v>3978</v>
      </c>
      <c r="CW42" s="141" t="s">
        <v>3979</v>
      </c>
      <c r="CX42" s="110" t="s">
        <v>3763</v>
      </c>
      <c r="CY42" s="111">
        <v>4741000</v>
      </c>
      <c r="CZ42" s="110" t="s">
        <v>3755</v>
      </c>
      <c r="DA42" s="110" t="s">
        <v>3755</v>
      </c>
      <c r="DB42" s="110">
        <v>0</v>
      </c>
      <c r="DC42" s="112" t="s">
        <v>3980</v>
      </c>
      <c r="DD42" s="115" t="s">
        <v>3762</v>
      </c>
      <c r="DE42" s="109">
        <v>0</v>
      </c>
      <c r="DF42" s="144" t="s">
        <v>3716</v>
      </c>
    </row>
    <row r="43" spans="1:110" ht="35.1" customHeight="1" x14ac:dyDescent="0.2">
      <c r="A43" s="121" t="s">
        <v>1318</v>
      </c>
      <c r="B43" s="118" t="s">
        <v>1261</v>
      </c>
      <c r="C43" s="118" t="s">
        <v>1319</v>
      </c>
      <c r="D43" s="111">
        <v>2262</v>
      </c>
      <c r="E43" s="111">
        <v>68068080</v>
      </c>
      <c r="F43" s="111">
        <v>2257</v>
      </c>
      <c r="G43" s="111">
        <v>67920080</v>
      </c>
      <c r="H43" s="111">
        <v>916</v>
      </c>
      <c r="I43" s="111">
        <v>19672000</v>
      </c>
      <c r="J43" s="111">
        <v>0</v>
      </c>
      <c r="K43" s="111">
        <v>0</v>
      </c>
      <c r="L43" s="111">
        <v>15737584</v>
      </c>
      <c r="M43" s="111">
        <v>1394186</v>
      </c>
      <c r="N43" s="111">
        <v>0</v>
      </c>
      <c r="O43" s="111">
        <v>421028</v>
      </c>
      <c r="P43" s="111">
        <v>14013297</v>
      </c>
      <c r="Q43" s="111">
        <v>0</v>
      </c>
      <c r="R43" s="111">
        <v>31566095</v>
      </c>
      <c r="S43" s="146">
        <v>0.23120358323607776</v>
      </c>
      <c r="T43" s="146">
        <v>2.0482228968409275E-2</v>
      </c>
      <c r="U43" s="146">
        <v>0</v>
      </c>
      <c r="V43" s="146">
        <v>6.1853955627953656E-3</v>
      </c>
      <c r="W43" s="146">
        <v>0.20587178307365214</v>
      </c>
      <c r="X43" s="146">
        <v>0</v>
      </c>
      <c r="Y43" s="146">
        <v>0.46374299084093457</v>
      </c>
      <c r="Z43" s="112">
        <v>0</v>
      </c>
      <c r="AA43" s="115" t="s">
        <v>3716</v>
      </c>
      <c r="AB43" s="115">
        <v>0</v>
      </c>
      <c r="AC43" s="110" t="s">
        <v>3716</v>
      </c>
      <c r="AD43" s="115">
        <v>0</v>
      </c>
      <c r="AE43" s="110" t="s">
        <v>3755</v>
      </c>
      <c r="AF43" s="110" t="s">
        <v>3755</v>
      </c>
      <c r="AG43" s="115" t="s">
        <v>3716</v>
      </c>
      <c r="AH43" s="115" t="s">
        <v>3756</v>
      </c>
      <c r="AI43" s="116">
        <v>1</v>
      </c>
      <c r="AJ43" s="116">
        <v>320000</v>
      </c>
      <c r="AK43" s="109" t="s">
        <v>3981</v>
      </c>
      <c r="AL43" s="109" t="s">
        <v>3982</v>
      </c>
      <c r="AM43" s="115" t="s">
        <v>3759</v>
      </c>
      <c r="AN43" s="115" t="s">
        <v>3716</v>
      </c>
      <c r="AO43" s="112">
        <v>4000000</v>
      </c>
      <c r="AP43" s="112">
        <v>320000</v>
      </c>
      <c r="AQ43" s="145">
        <v>0</v>
      </c>
      <c r="AR43" s="109">
        <v>0</v>
      </c>
      <c r="AS43" s="115">
        <v>0</v>
      </c>
      <c r="AT43" s="115">
        <v>0</v>
      </c>
      <c r="AU43" s="112">
        <v>0</v>
      </c>
      <c r="AV43" s="112">
        <v>0</v>
      </c>
      <c r="AW43" s="145">
        <v>0</v>
      </c>
      <c r="AX43" s="109">
        <v>0</v>
      </c>
      <c r="AY43" s="115">
        <v>0</v>
      </c>
      <c r="AZ43" s="115">
        <v>0</v>
      </c>
      <c r="BA43" s="112">
        <v>0</v>
      </c>
      <c r="BB43" s="112">
        <v>0</v>
      </c>
      <c r="BC43" s="110" t="s">
        <v>3755</v>
      </c>
      <c r="BD43" s="111">
        <v>1255</v>
      </c>
      <c r="BE43" s="111">
        <v>29810000</v>
      </c>
      <c r="BF43" s="110">
        <v>0</v>
      </c>
      <c r="BG43" s="111"/>
      <c r="BH43" s="111"/>
      <c r="BI43" s="110" t="s">
        <v>3755</v>
      </c>
      <c r="BJ43" s="111">
        <v>325</v>
      </c>
      <c r="BK43" s="111">
        <v>22443080</v>
      </c>
      <c r="BL43" s="110">
        <v>0</v>
      </c>
      <c r="BM43" s="111"/>
      <c r="BN43" s="111"/>
      <c r="BO43" s="110" t="s">
        <v>3755</v>
      </c>
      <c r="BP43" s="111">
        <v>660</v>
      </c>
      <c r="BQ43" s="111">
        <v>15493000</v>
      </c>
      <c r="BR43" s="110">
        <v>0</v>
      </c>
      <c r="BS43" s="111"/>
      <c r="BT43" s="111"/>
      <c r="BU43" s="110">
        <v>0</v>
      </c>
      <c r="BV43" s="111"/>
      <c r="BW43" s="111"/>
      <c r="BX43" s="110">
        <v>0</v>
      </c>
      <c r="BY43" s="111"/>
      <c r="BZ43" s="111"/>
      <c r="CA43" s="110">
        <v>0</v>
      </c>
      <c r="CB43" s="111"/>
      <c r="CC43" s="111"/>
      <c r="CD43" s="110">
        <v>0</v>
      </c>
      <c r="CE43" s="111"/>
      <c r="CF43" s="111"/>
      <c r="CG43" s="110">
        <v>0</v>
      </c>
      <c r="CH43" s="111"/>
      <c r="CI43" s="111"/>
      <c r="CJ43" s="110" t="s">
        <v>3755</v>
      </c>
      <c r="CK43" s="112" t="s">
        <v>3983</v>
      </c>
      <c r="CL43" s="111">
        <v>1</v>
      </c>
      <c r="CM43" s="111">
        <v>2000</v>
      </c>
      <c r="CN43" s="141" t="s">
        <v>3984</v>
      </c>
      <c r="CO43" s="114" t="s">
        <v>3985</v>
      </c>
      <c r="CP43" s="110" t="s">
        <v>3716</v>
      </c>
      <c r="CQ43" s="111">
        <v>14000000</v>
      </c>
      <c r="CR43" s="141" t="s">
        <v>3986</v>
      </c>
      <c r="CS43" s="141" t="s">
        <v>3987</v>
      </c>
      <c r="CT43" s="110" t="s">
        <v>3716</v>
      </c>
      <c r="CU43" s="111">
        <v>991000</v>
      </c>
      <c r="CV43" s="141" t="s">
        <v>3988</v>
      </c>
      <c r="CW43" s="141" t="s">
        <v>3989</v>
      </c>
      <c r="CX43" s="110" t="s">
        <v>3716</v>
      </c>
      <c r="CY43" s="111">
        <v>2420000</v>
      </c>
      <c r="CZ43" s="110" t="s">
        <v>3755</v>
      </c>
      <c r="DA43" s="110" t="s">
        <v>3755</v>
      </c>
      <c r="DB43" s="110">
        <v>0</v>
      </c>
      <c r="DC43" s="112" t="s">
        <v>3990</v>
      </c>
      <c r="DD43" s="115" t="s">
        <v>3762</v>
      </c>
      <c r="DE43" s="109">
        <v>0</v>
      </c>
      <c r="DF43" s="144" t="s">
        <v>3716</v>
      </c>
    </row>
    <row r="44" spans="1:110" ht="35.1" customHeight="1" x14ac:dyDescent="0.2">
      <c r="A44" s="121" t="s">
        <v>1320</v>
      </c>
      <c r="B44" s="118" t="s">
        <v>1261</v>
      </c>
      <c r="C44" s="118" t="s">
        <v>1321</v>
      </c>
      <c r="D44" s="111">
        <v>4906</v>
      </c>
      <c r="E44" s="111">
        <v>103542625</v>
      </c>
      <c r="F44" s="111">
        <v>4904</v>
      </c>
      <c r="G44" s="111">
        <v>103499000</v>
      </c>
      <c r="H44" s="111">
        <v>1590</v>
      </c>
      <c r="I44" s="111">
        <v>37825000</v>
      </c>
      <c r="J44" s="111">
        <v>0</v>
      </c>
      <c r="K44" s="111">
        <v>0</v>
      </c>
      <c r="L44" s="111">
        <v>24546810</v>
      </c>
      <c r="M44" s="111">
        <v>5429716</v>
      </c>
      <c r="N44" s="111">
        <v>0</v>
      </c>
      <c r="O44" s="111">
        <v>1679715</v>
      </c>
      <c r="P44" s="111">
        <v>16582612</v>
      </c>
      <c r="Q44" s="111">
        <v>0</v>
      </c>
      <c r="R44" s="111">
        <v>48238853</v>
      </c>
      <c r="S44" s="146">
        <v>0.23706961263537601</v>
      </c>
      <c r="T44" s="146">
        <v>5.2439427723606581E-2</v>
      </c>
      <c r="U44" s="146">
        <v>0</v>
      </c>
      <c r="V44" s="146">
        <v>1.6222449450166054E-2</v>
      </c>
      <c r="W44" s="146">
        <v>0.16015251689823393</v>
      </c>
      <c r="X44" s="146">
        <v>0</v>
      </c>
      <c r="Y44" s="146">
        <v>0.46588400670738261</v>
      </c>
      <c r="Z44" s="112">
        <v>0</v>
      </c>
      <c r="AA44" s="115" t="s">
        <v>3716</v>
      </c>
      <c r="AB44" s="115">
        <v>0</v>
      </c>
      <c r="AC44" s="110" t="s">
        <v>3716</v>
      </c>
      <c r="AD44" s="115">
        <v>0</v>
      </c>
      <c r="AE44" s="110" t="s">
        <v>3755</v>
      </c>
      <c r="AF44" s="110" t="s">
        <v>3755</v>
      </c>
      <c r="AG44" s="115" t="s">
        <v>3716</v>
      </c>
      <c r="AH44" s="115" t="s">
        <v>3756</v>
      </c>
      <c r="AI44" s="116">
        <v>1</v>
      </c>
      <c r="AJ44" s="116">
        <v>2070000</v>
      </c>
      <c r="AK44" s="109" t="s">
        <v>3991</v>
      </c>
      <c r="AL44" s="109">
        <v>0</v>
      </c>
      <c r="AM44" s="115">
        <v>0</v>
      </c>
      <c r="AN44" s="115">
        <v>0</v>
      </c>
      <c r="AO44" s="112">
        <v>0</v>
      </c>
      <c r="AP44" s="112">
        <v>0</v>
      </c>
      <c r="AQ44" s="145">
        <v>0</v>
      </c>
      <c r="AR44" s="109">
        <v>0</v>
      </c>
      <c r="AS44" s="115">
        <v>0</v>
      </c>
      <c r="AT44" s="115">
        <v>0</v>
      </c>
      <c r="AU44" s="112">
        <v>0</v>
      </c>
      <c r="AV44" s="112">
        <v>0</v>
      </c>
      <c r="AW44" s="145">
        <v>0</v>
      </c>
      <c r="AX44" s="109">
        <v>0</v>
      </c>
      <c r="AY44" s="115">
        <v>0</v>
      </c>
      <c r="AZ44" s="115">
        <v>0</v>
      </c>
      <c r="BA44" s="112">
        <v>0</v>
      </c>
      <c r="BB44" s="112">
        <v>0</v>
      </c>
      <c r="BC44" s="110" t="s">
        <v>3755</v>
      </c>
      <c r="BD44" s="111">
        <v>50</v>
      </c>
      <c r="BE44" s="111">
        <v>1051000</v>
      </c>
      <c r="BF44" s="110" t="s">
        <v>3755</v>
      </c>
      <c r="BG44" s="111">
        <v>106</v>
      </c>
      <c r="BH44" s="111">
        <v>2546000</v>
      </c>
      <c r="BI44" s="110" t="s">
        <v>3755</v>
      </c>
      <c r="BJ44" s="111">
        <v>270</v>
      </c>
      <c r="BK44" s="111">
        <v>5428000</v>
      </c>
      <c r="BL44" s="110" t="s">
        <v>3755</v>
      </c>
      <c r="BM44" s="111">
        <v>234</v>
      </c>
      <c r="BN44" s="111">
        <v>5209000</v>
      </c>
      <c r="BO44" s="110" t="s">
        <v>3755</v>
      </c>
      <c r="BP44" s="111">
        <v>132</v>
      </c>
      <c r="BQ44" s="111">
        <v>3118000</v>
      </c>
      <c r="BR44" s="110" t="s">
        <v>3755</v>
      </c>
      <c r="BS44" s="111">
        <v>1284</v>
      </c>
      <c r="BT44" s="111">
        <v>28598000</v>
      </c>
      <c r="BU44" s="110" t="s">
        <v>3755</v>
      </c>
      <c r="BV44" s="111">
        <v>177</v>
      </c>
      <c r="BW44" s="111">
        <v>3362000</v>
      </c>
      <c r="BX44" s="110" t="s">
        <v>3755</v>
      </c>
      <c r="BY44" s="111">
        <v>26</v>
      </c>
      <c r="BZ44" s="111">
        <v>572000</v>
      </c>
      <c r="CA44" s="110" t="s">
        <v>3755</v>
      </c>
      <c r="CB44" s="111">
        <v>203</v>
      </c>
      <c r="CC44" s="111">
        <v>3975000</v>
      </c>
      <c r="CD44" s="110">
        <v>0</v>
      </c>
      <c r="CE44" s="111"/>
      <c r="CF44" s="111"/>
      <c r="CG44" s="110" t="s">
        <v>3755</v>
      </c>
      <c r="CH44" s="111">
        <v>2225</v>
      </c>
      <c r="CI44" s="111">
        <v>46741625</v>
      </c>
      <c r="CJ44" s="110" t="s">
        <v>3755</v>
      </c>
      <c r="CK44" s="112" t="s">
        <v>3992</v>
      </c>
      <c r="CL44" s="111">
        <v>199</v>
      </c>
      <c r="CM44" s="111">
        <v>2942000</v>
      </c>
      <c r="CN44" s="141" t="s">
        <v>3993</v>
      </c>
      <c r="CO44" s="114" t="s">
        <v>3994</v>
      </c>
      <c r="CP44" s="110" t="s">
        <v>3760</v>
      </c>
      <c r="CQ44" s="111">
        <v>3503000</v>
      </c>
      <c r="CR44" s="141" t="s">
        <v>3995</v>
      </c>
      <c r="CS44" s="141" t="s">
        <v>3996</v>
      </c>
      <c r="CT44" s="110" t="s">
        <v>3758</v>
      </c>
      <c r="CU44" s="111">
        <v>3000000</v>
      </c>
      <c r="CV44" s="141" t="s">
        <v>3997</v>
      </c>
      <c r="CW44" s="141" t="s">
        <v>3998</v>
      </c>
      <c r="CX44" s="110" t="s">
        <v>3763</v>
      </c>
      <c r="CY44" s="111">
        <v>2000000</v>
      </c>
      <c r="CZ44" s="110" t="s">
        <v>3755</v>
      </c>
      <c r="DA44" s="110" t="s">
        <v>3755</v>
      </c>
      <c r="DB44" s="110">
        <v>0</v>
      </c>
      <c r="DC44" s="112" t="s">
        <v>3999</v>
      </c>
      <c r="DD44" s="115" t="s">
        <v>3762</v>
      </c>
      <c r="DE44" s="109">
        <v>0</v>
      </c>
      <c r="DF44" s="144" t="s">
        <v>3716</v>
      </c>
    </row>
    <row r="45" spans="1:110" ht="35.1" customHeight="1" x14ac:dyDescent="0.2">
      <c r="A45" s="121" t="s">
        <v>1322</v>
      </c>
      <c r="B45" s="118" t="s">
        <v>1261</v>
      </c>
      <c r="C45" s="118" t="s">
        <v>1323</v>
      </c>
      <c r="D45" s="111">
        <v>2839</v>
      </c>
      <c r="E45" s="111">
        <v>39791520</v>
      </c>
      <c r="F45" s="111">
        <v>2837</v>
      </c>
      <c r="G45" s="111">
        <v>39491520</v>
      </c>
      <c r="H45" s="111">
        <v>354</v>
      </c>
      <c r="I45" s="111">
        <v>5986000</v>
      </c>
      <c r="J45" s="111">
        <v>0</v>
      </c>
      <c r="K45" s="111">
        <v>0</v>
      </c>
      <c r="L45" s="111">
        <v>10787495</v>
      </c>
      <c r="M45" s="111">
        <v>2439371</v>
      </c>
      <c r="N45" s="111">
        <v>0</v>
      </c>
      <c r="O45" s="111">
        <v>371418</v>
      </c>
      <c r="P45" s="111">
        <v>9244273</v>
      </c>
      <c r="Q45" s="111">
        <v>0</v>
      </c>
      <c r="R45" s="111">
        <v>22842557</v>
      </c>
      <c r="S45" s="146">
        <v>0.27110035002432681</v>
      </c>
      <c r="T45" s="146">
        <v>6.130379035533199E-2</v>
      </c>
      <c r="U45" s="146">
        <v>0</v>
      </c>
      <c r="V45" s="146">
        <v>9.3340993256854719E-3</v>
      </c>
      <c r="W45" s="146">
        <v>0.23231766466825093</v>
      </c>
      <c r="X45" s="146">
        <v>0</v>
      </c>
      <c r="Y45" s="146">
        <v>0.57405590437359522</v>
      </c>
      <c r="Z45" s="112">
        <v>0</v>
      </c>
      <c r="AA45" s="115" t="s">
        <v>3716</v>
      </c>
      <c r="AB45" s="115">
        <v>0</v>
      </c>
      <c r="AC45" s="110" t="s">
        <v>3716</v>
      </c>
      <c r="AD45" s="115">
        <v>0</v>
      </c>
      <c r="AE45" s="110">
        <v>0</v>
      </c>
      <c r="AF45" s="110" t="s">
        <v>3755</v>
      </c>
      <c r="AG45" s="115" t="s">
        <v>3756</v>
      </c>
      <c r="AH45" s="115" t="s">
        <v>3756</v>
      </c>
      <c r="AI45" s="113"/>
      <c r="AJ45" s="116"/>
      <c r="AK45" s="109">
        <v>0</v>
      </c>
      <c r="AL45" s="109">
        <v>0</v>
      </c>
      <c r="AM45" s="115">
        <v>0</v>
      </c>
      <c r="AN45" s="115">
        <v>0</v>
      </c>
      <c r="AO45" s="112">
        <v>0</v>
      </c>
      <c r="AP45" s="112">
        <v>0</v>
      </c>
      <c r="AQ45" s="145">
        <v>0</v>
      </c>
      <c r="AR45" s="109">
        <v>0</v>
      </c>
      <c r="AS45" s="115">
        <v>0</v>
      </c>
      <c r="AT45" s="115">
        <v>0</v>
      </c>
      <c r="AU45" s="112">
        <v>0</v>
      </c>
      <c r="AV45" s="112">
        <v>0</v>
      </c>
      <c r="AW45" s="145">
        <v>0</v>
      </c>
      <c r="AX45" s="109">
        <v>0</v>
      </c>
      <c r="AY45" s="115">
        <v>0</v>
      </c>
      <c r="AZ45" s="115">
        <v>0</v>
      </c>
      <c r="BA45" s="112">
        <v>0</v>
      </c>
      <c r="BB45" s="112">
        <v>0</v>
      </c>
      <c r="BC45" s="110" t="s">
        <v>3755</v>
      </c>
      <c r="BD45" s="111">
        <v>41</v>
      </c>
      <c r="BE45" s="111">
        <v>724420</v>
      </c>
      <c r="BF45" s="110">
        <v>0</v>
      </c>
      <c r="BG45" s="111"/>
      <c r="BH45" s="111"/>
      <c r="BI45" s="110" t="s">
        <v>3755</v>
      </c>
      <c r="BJ45" s="111">
        <v>170</v>
      </c>
      <c r="BK45" s="111">
        <v>2472000</v>
      </c>
      <c r="BL45" s="110" t="s">
        <v>3755</v>
      </c>
      <c r="BM45" s="111">
        <v>253</v>
      </c>
      <c r="BN45" s="111">
        <v>3209100</v>
      </c>
      <c r="BO45" s="110" t="s">
        <v>3755</v>
      </c>
      <c r="BP45" s="111">
        <v>346</v>
      </c>
      <c r="BQ45" s="111">
        <v>4769500</v>
      </c>
      <c r="BR45" s="110" t="s">
        <v>3755</v>
      </c>
      <c r="BS45" s="111">
        <v>346</v>
      </c>
      <c r="BT45" s="111">
        <v>4769500</v>
      </c>
      <c r="BU45" s="110" t="s">
        <v>3755</v>
      </c>
      <c r="BV45" s="111">
        <v>417</v>
      </c>
      <c r="BW45" s="111">
        <v>5548000</v>
      </c>
      <c r="BX45" s="110" t="s">
        <v>3755</v>
      </c>
      <c r="BY45" s="111">
        <v>46</v>
      </c>
      <c r="BZ45" s="111">
        <v>667000</v>
      </c>
      <c r="CA45" s="110">
        <v>0</v>
      </c>
      <c r="CB45" s="111"/>
      <c r="CC45" s="111"/>
      <c r="CD45" s="110">
        <v>0</v>
      </c>
      <c r="CE45" s="111"/>
      <c r="CF45" s="111"/>
      <c r="CG45" s="110" t="s">
        <v>3755</v>
      </c>
      <c r="CH45" s="111">
        <v>926</v>
      </c>
      <c r="CI45" s="111">
        <v>13306000</v>
      </c>
      <c r="CJ45" s="110" t="s">
        <v>3755</v>
      </c>
      <c r="CK45" s="112" t="s">
        <v>4000</v>
      </c>
      <c r="CL45" s="111">
        <v>294</v>
      </c>
      <c r="CM45" s="111">
        <v>4326000</v>
      </c>
      <c r="CN45" s="141" t="s">
        <v>4001</v>
      </c>
      <c r="CO45" s="114" t="s">
        <v>4002</v>
      </c>
      <c r="CP45" s="110" t="s">
        <v>3765</v>
      </c>
      <c r="CQ45" s="111">
        <v>400000</v>
      </c>
      <c r="CR45" s="141" t="s">
        <v>4003</v>
      </c>
      <c r="CS45" s="141" t="s">
        <v>4004</v>
      </c>
      <c r="CT45" s="110" t="s">
        <v>3764</v>
      </c>
      <c r="CU45" s="111">
        <v>500000</v>
      </c>
      <c r="CV45" s="141" t="s">
        <v>4005</v>
      </c>
      <c r="CW45" s="141" t="s">
        <v>4006</v>
      </c>
      <c r="CX45" s="110" t="s">
        <v>3764</v>
      </c>
      <c r="CY45" s="111">
        <v>1000000</v>
      </c>
      <c r="CZ45" s="110" t="s">
        <v>3755</v>
      </c>
      <c r="DA45" s="110" t="s">
        <v>3755</v>
      </c>
      <c r="DB45" s="110">
        <v>0</v>
      </c>
      <c r="DC45" s="112" t="s">
        <v>4007</v>
      </c>
      <c r="DD45" s="115" t="s">
        <v>3716</v>
      </c>
      <c r="DE45" s="109" t="s">
        <v>4008</v>
      </c>
      <c r="DF45" s="144" t="s">
        <v>3716</v>
      </c>
    </row>
    <row r="46" spans="1:110" ht="35.1" customHeight="1" x14ac:dyDescent="0.2">
      <c r="A46" s="121" t="s">
        <v>1324</v>
      </c>
      <c r="B46" s="118" t="s">
        <v>1261</v>
      </c>
      <c r="C46" s="118" t="s">
        <v>1325</v>
      </c>
      <c r="D46" s="111">
        <v>23606</v>
      </c>
      <c r="E46" s="111">
        <v>416443700</v>
      </c>
      <c r="F46" s="111">
        <v>23600</v>
      </c>
      <c r="G46" s="111">
        <v>415138700</v>
      </c>
      <c r="H46" s="111">
        <v>6353</v>
      </c>
      <c r="I46" s="111">
        <v>104253700</v>
      </c>
      <c r="J46" s="111">
        <v>0</v>
      </c>
      <c r="K46" s="111">
        <v>0</v>
      </c>
      <c r="L46" s="111">
        <v>114442941</v>
      </c>
      <c r="M46" s="111">
        <v>35545360</v>
      </c>
      <c r="N46" s="111">
        <v>2720049</v>
      </c>
      <c r="O46" s="111">
        <v>2323649</v>
      </c>
      <c r="P46" s="111">
        <v>51687474</v>
      </c>
      <c r="Q46" s="111">
        <v>851920</v>
      </c>
      <c r="R46" s="111">
        <v>207571393</v>
      </c>
      <c r="S46" s="146">
        <v>0.27481011478862571</v>
      </c>
      <c r="T46" s="146">
        <v>8.5354538920867334E-2</v>
      </c>
      <c r="U46" s="146">
        <v>6.5316127966397377E-3</v>
      </c>
      <c r="V46" s="146">
        <v>5.5797434323054951E-3</v>
      </c>
      <c r="W46" s="146">
        <v>0.12411635474375048</v>
      </c>
      <c r="X46" s="146">
        <v>2.0457026964269122E-3</v>
      </c>
      <c r="Y46" s="146">
        <v>0.49843806737861562</v>
      </c>
      <c r="Z46" s="112" t="s">
        <v>4009</v>
      </c>
      <c r="AA46" s="115" t="s">
        <v>3716</v>
      </c>
      <c r="AB46" s="115">
        <v>0</v>
      </c>
      <c r="AC46" s="110" t="s">
        <v>3716</v>
      </c>
      <c r="AD46" s="115">
        <v>0</v>
      </c>
      <c r="AE46" s="110">
        <v>0</v>
      </c>
      <c r="AF46" s="110" t="s">
        <v>3755</v>
      </c>
      <c r="AG46" s="115" t="s">
        <v>3756</v>
      </c>
      <c r="AH46" s="115" t="s">
        <v>3762</v>
      </c>
      <c r="AI46" s="113"/>
      <c r="AJ46" s="116"/>
      <c r="AK46" s="109">
        <v>0</v>
      </c>
      <c r="AL46" s="109">
        <v>0</v>
      </c>
      <c r="AM46" s="115">
        <v>0</v>
      </c>
      <c r="AN46" s="115">
        <v>0</v>
      </c>
      <c r="AO46" s="112">
        <v>0</v>
      </c>
      <c r="AP46" s="112">
        <v>0</v>
      </c>
      <c r="AQ46" s="145">
        <v>0</v>
      </c>
      <c r="AR46" s="109">
        <v>0</v>
      </c>
      <c r="AS46" s="115">
        <v>0</v>
      </c>
      <c r="AT46" s="115">
        <v>0</v>
      </c>
      <c r="AU46" s="112">
        <v>0</v>
      </c>
      <c r="AV46" s="112">
        <v>0</v>
      </c>
      <c r="AW46" s="145">
        <v>0</v>
      </c>
      <c r="AX46" s="109">
        <v>0</v>
      </c>
      <c r="AY46" s="115">
        <v>0</v>
      </c>
      <c r="AZ46" s="115">
        <v>0</v>
      </c>
      <c r="BA46" s="112">
        <v>0</v>
      </c>
      <c r="BB46" s="112">
        <v>0</v>
      </c>
      <c r="BC46" s="110" t="s">
        <v>3755</v>
      </c>
      <c r="BD46" s="111">
        <v>828</v>
      </c>
      <c r="BE46" s="111">
        <v>14099500</v>
      </c>
      <c r="BF46" s="110">
        <v>0</v>
      </c>
      <c r="BG46" s="111"/>
      <c r="BH46" s="111"/>
      <c r="BI46" s="110">
        <v>0</v>
      </c>
      <c r="BJ46" s="111"/>
      <c r="BK46" s="111"/>
      <c r="BL46" s="110" t="s">
        <v>3755</v>
      </c>
      <c r="BM46" s="111">
        <v>4098</v>
      </c>
      <c r="BN46" s="111">
        <v>76195500</v>
      </c>
      <c r="BO46" s="110">
        <v>0</v>
      </c>
      <c r="BP46" s="111"/>
      <c r="BQ46" s="111"/>
      <c r="BR46" s="110" t="s">
        <v>3755</v>
      </c>
      <c r="BS46" s="111">
        <v>7903</v>
      </c>
      <c r="BT46" s="111">
        <v>131928700</v>
      </c>
      <c r="BU46" s="110">
        <v>0</v>
      </c>
      <c r="BV46" s="111"/>
      <c r="BW46" s="111"/>
      <c r="BX46" s="110">
        <v>0</v>
      </c>
      <c r="BY46" s="111"/>
      <c r="BZ46" s="111"/>
      <c r="CA46" s="110">
        <v>0</v>
      </c>
      <c r="CB46" s="111"/>
      <c r="CC46" s="111"/>
      <c r="CD46" s="110">
        <v>0</v>
      </c>
      <c r="CE46" s="111"/>
      <c r="CF46" s="111"/>
      <c r="CG46" s="110" t="s">
        <v>3755</v>
      </c>
      <c r="CH46" s="111">
        <v>10777</v>
      </c>
      <c r="CI46" s="111">
        <v>194220000</v>
      </c>
      <c r="CJ46" s="110">
        <v>0</v>
      </c>
      <c r="CK46" s="112">
        <v>0</v>
      </c>
      <c r="CL46" s="111"/>
      <c r="CM46" s="111"/>
      <c r="CN46" s="141" t="s">
        <v>3770</v>
      </c>
      <c r="CO46" s="114" t="s">
        <v>4010</v>
      </c>
      <c r="CP46" s="110" t="s">
        <v>3765</v>
      </c>
      <c r="CQ46" s="111">
        <v>31176000</v>
      </c>
      <c r="CR46" s="141" t="s">
        <v>4011</v>
      </c>
      <c r="CS46" s="141" t="s">
        <v>4012</v>
      </c>
      <c r="CT46" s="110" t="s">
        <v>3765</v>
      </c>
      <c r="CU46" s="111">
        <v>500000</v>
      </c>
      <c r="CV46" s="141" t="s">
        <v>4013</v>
      </c>
      <c r="CW46" s="141" t="s">
        <v>4014</v>
      </c>
      <c r="CX46" s="110" t="s">
        <v>3758</v>
      </c>
      <c r="CY46" s="111">
        <v>17247000</v>
      </c>
      <c r="CZ46" s="110" t="s">
        <v>3755</v>
      </c>
      <c r="DA46" s="110" t="s">
        <v>3755</v>
      </c>
      <c r="DB46" s="110" t="s">
        <v>3755</v>
      </c>
      <c r="DC46" s="112">
        <v>0</v>
      </c>
      <c r="DD46" s="115" t="s">
        <v>3716</v>
      </c>
      <c r="DE46" s="109" t="s">
        <v>4015</v>
      </c>
      <c r="DF46" s="144" t="s">
        <v>3716</v>
      </c>
    </row>
    <row r="47" spans="1:110" ht="35.1" customHeight="1" x14ac:dyDescent="0.2">
      <c r="A47" s="121" t="s">
        <v>1326</v>
      </c>
      <c r="B47" s="118" t="s">
        <v>1261</v>
      </c>
      <c r="C47" s="118" t="s">
        <v>1327</v>
      </c>
      <c r="D47" s="111">
        <v>622</v>
      </c>
      <c r="E47" s="111">
        <v>23043002</v>
      </c>
      <c r="F47" s="111">
        <v>616</v>
      </c>
      <c r="G47" s="111">
        <v>20799000</v>
      </c>
      <c r="H47" s="111">
        <v>98</v>
      </c>
      <c r="I47" s="111">
        <v>3391000</v>
      </c>
      <c r="J47" s="111">
        <v>0</v>
      </c>
      <c r="K47" s="111">
        <v>0</v>
      </c>
      <c r="L47" s="111">
        <v>5385968</v>
      </c>
      <c r="M47" s="111">
        <v>653165</v>
      </c>
      <c r="N47" s="111">
        <v>0</v>
      </c>
      <c r="O47" s="111">
        <v>112440</v>
      </c>
      <c r="P47" s="111">
        <v>4661569</v>
      </c>
      <c r="Q47" s="111">
        <v>0</v>
      </c>
      <c r="R47" s="111">
        <v>10813142</v>
      </c>
      <c r="S47" s="146">
        <v>0.23373551762049061</v>
      </c>
      <c r="T47" s="146">
        <v>2.8345482068699208E-2</v>
      </c>
      <c r="U47" s="146">
        <v>0</v>
      </c>
      <c r="V47" s="146">
        <v>4.8795725487503754E-3</v>
      </c>
      <c r="W47" s="146">
        <v>0.20229868486753591</v>
      </c>
      <c r="X47" s="146">
        <v>0</v>
      </c>
      <c r="Y47" s="146">
        <v>0.46925925710547611</v>
      </c>
      <c r="Z47" s="112">
        <v>0</v>
      </c>
      <c r="AA47" s="115" t="s">
        <v>3716</v>
      </c>
      <c r="AB47" s="115">
        <v>0</v>
      </c>
      <c r="AC47" s="110" t="s">
        <v>3716</v>
      </c>
      <c r="AD47" s="115">
        <v>0</v>
      </c>
      <c r="AE47" s="110">
        <v>0</v>
      </c>
      <c r="AF47" s="110" t="s">
        <v>3755</v>
      </c>
      <c r="AG47" s="115" t="s">
        <v>3756</v>
      </c>
      <c r="AH47" s="115" t="s">
        <v>3762</v>
      </c>
      <c r="AI47" s="113"/>
      <c r="AJ47" s="116"/>
      <c r="AK47" s="109">
        <v>0</v>
      </c>
      <c r="AL47" s="109">
        <v>0</v>
      </c>
      <c r="AM47" s="115">
        <v>0</v>
      </c>
      <c r="AN47" s="115">
        <v>0</v>
      </c>
      <c r="AO47" s="112">
        <v>0</v>
      </c>
      <c r="AP47" s="112">
        <v>0</v>
      </c>
      <c r="AQ47" s="145">
        <v>0</v>
      </c>
      <c r="AR47" s="112">
        <v>0</v>
      </c>
      <c r="AS47" s="115">
        <v>0</v>
      </c>
      <c r="AT47" s="115">
        <v>0</v>
      </c>
      <c r="AU47" s="112">
        <v>0</v>
      </c>
      <c r="AV47" s="112">
        <v>0</v>
      </c>
      <c r="AW47" s="145">
        <v>0</v>
      </c>
      <c r="AX47" s="112">
        <v>0</v>
      </c>
      <c r="AY47" s="115">
        <v>0</v>
      </c>
      <c r="AZ47" s="115">
        <v>0</v>
      </c>
      <c r="BA47" s="112">
        <v>0</v>
      </c>
      <c r="BB47" s="112">
        <v>0</v>
      </c>
      <c r="BC47" s="110">
        <v>0</v>
      </c>
      <c r="BD47" s="111"/>
      <c r="BE47" s="111"/>
      <c r="BF47" s="110">
        <v>0</v>
      </c>
      <c r="BG47" s="111"/>
      <c r="BH47" s="111"/>
      <c r="BI47" s="110">
        <v>0</v>
      </c>
      <c r="BJ47" s="111"/>
      <c r="BK47" s="111"/>
      <c r="BL47" s="110">
        <v>0</v>
      </c>
      <c r="BM47" s="111"/>
      <c r="BN47" s="111"/>
      <c r="BO47" s="110">
        <v>0</v>
      </c>
      <c r="BP47" s="111"/>
      <c r="BQ47" s="111"/>
      <c r="BR47" s="110">
        <v>0</v>
      </c>
      <c r="BS47" s="111"/>
      <c r="BT47" s="111"/>
      <c r="BU47" s="110">
        <v>0</v>
      </c>
      <c r="BV47" s="111"/>
      <c r="BW47" s="111"/>
      <c r="BX47" s="110">
        <v>0</v>
      </c>
      <c r="BY47" s="111"/>
      <c r="BZ47" s="111"/>
      <c r="CA47" s="110">
        <v>0</v>
      </c>
      <c r="CB47" s="111"/>
      <c r="CC47" s="111"/>
      <c r="CD47" s="110">
        <v>0</v>
      </c>
      <c r="CE47" s="111">
        <v>0</v>
      </c>
      <c r="CF47" s="111">
        <v>0</v>
      </c>
      <c r="CG47" s="110">
        <v>0</v>
      </c>
      <c r="CH47" s="111">
        <v>0</v>
      </c>
      <c r="CI47" s="111">
        <v>0</v>
      </c>
      <c r="CJ47" s="110" t="s">
        <v>3755</v>
      </c>
      <c r="CK47" s="112" t="s">
        <v>4016</v>
      </c>
      <c r="CL47" s="111">
        <v>618</v>
      </c>
      <c r="CM47" s="111">
        <v>20839000</v>
      </c>
      <c r="CN47" s="141" t="s">
        <v>4017</v>
      </c>
      <c r="CO47" s="114" t="s">
        <v>4018</v>
      </c>
      <c r="CP47" s="110" t="s">
        <v>3771</v>
      </c>
      <c r="CQ47" s="111">
        <v>1501000</v>
      </c>
      <c r="CR47" s="141" t="s">
        <v>4019</v>
      </c>
      <c r="CS47" s="141" t="s">
        <v>4020</v>
      </c>
      <c r="CT47" s="110" t="s">
        <v>3758</v>
      </c>
      <c r="CU47" s="111">
        <v>2889000</v>
      </c>
      <c r="CV47" s="141" t="s">
        <v>4021</v>
      </c>
      <c r="CW47" s="141" t="s">
        <v>4022</v>
      </c>
      <c r="CX47" s="110" t="s">
        <v>3763</v>
      </c>
      <c r="CY47" s="111">
        <v>5933000</v>
      </c>
      <c r="CZ47" s="110" t="s">
        <v>3755</v>
      </c>
      <c r="DA47" s="110" t="s">
        <v>3755</v>
      </c>
      <c r="DB47" s="110" t="s">
        <v>3755</v>
      </c>
      <c r="DC47" s="112">
        <v>0</v>
      </c>
      <c r="DD47" s="115" t="s">
        <v>3762</v>
      </c>
      <c r="DE47" s="109">
        <v>0</v>
      </c>
      <c r="DF47" s="144" t="s">
        <v>3716</v>
      </c>
    </row>
    <row r="48" spans="1:110" ht="35.1" customHeight="1" x14ac:dyDescent="0.2">
      <c r="A48" s="121" t="s">
        <v>1328</v>
      </c>
      <c r="B48" s="118" t="s">
        <v>1261</v>
      </c>
      <c r="C48" s="118" t="s">
        <v>1329</v>
      </c>
      <c r="D48" s="111">
        <v>54236</v>
      </c>
      <c r="E48" s="111">
        <v>760582000</v>
      </c>
      <c r="F48" s="111">
        <v>54232</v>
      </c>
      <c r="G48" s="111">
        <v>759282000</v>
      </c>
      <c r="H48" s="111">
        <v>16035</v>
      </c>
      <c r="I48" s="111">
        <v>210305000</v>
      </c>
      <c r="J48" s="111">
        <v>0</v>
      </c>
      <c r="K48" s="111">
        <v>0</v>
      </c>
      <c r="L48" s="111">
        <v>205623939</v>
      </c>
      <c r="M48" s="111">
        <v>73828383</v>
      </c>
      <c r="N48" s="111">
        <v>1092833</v>
      </c>
      <c r="O48" s="111">
        <v>889083</v>
      </c>
      <c r="P48" s="111">
        <v>91916495</v>
      </c>
      <c r="Q48" s="111">
        <v>9468</v>
      </c>
      <c r="R48" s="111">
        <v>373360201</v>
      </c>
      <c r="S48" s="146">
        <v>0.27035078269009782</v>
      </c>
      <c r="T48" s="146">
        <v>9.7068275347036881E-2</v>
      </c>
      <c r="U48" s="146">
        <v>1.4368378425994831E-3</v>
      </c>
      <c r="V48" s="146">
        <v>1.1689508823506209E-3</v>
      </c>
      <c r="W48" s="146">
        <v>0.1208502107596551</v>
      </c>
      <c r="X48" s="146">
        <v>1.2448361912325035E-5</v>
      </c>
      <c r="Y48" s="146">
        <v>0.49088750588365226</v>
      </c>
      <c r="Z48" s="112" t="s">
        <v>4023</v>
      </c>
      <c r="AA48" s="115" t="s">
        <v>3716</v>
      </c>
      <c r="AB48" s="115">
        <v>0</v>
      </c>
      <c r="AC48" s="110" t="s">
        <v>3716</v>
      </c>
      <c r="AD48" s="115">
        <v>0</v>
      </c>
      <c r="AE48" s="110">
        <v>0</v>
      </c>
      <c r="AF48" s="110" t="s">
        <v>3755</v>
      </c>
      <c r="AG48" s="115" t="s">
        <v>3756</v>
      </c>
      <c r="AH48" s="115" t="s">
        <v>3756</v>
      </c>
      <c r="AI48" s="113"/>
      <c r="AJ48" s="116"/>
      <c r="AK48" s="109">
        <v>0</v>
      </c>
      <c r="AL48" s="109">
        <v>0</v>
      </c>
      <c r="AM48" s="115">
        <v>0</v>
      </c>
      <c r="AN48" s="115">
        <v>0</v>
      </c>
      <c r="AO48" s="112">
        <v>0</v>
      </c>
      <c r="AP48" s="112">
        <v>0</v>
      </c>
      <c r="AQ48" s="145">
        <v>0</v>
      </c>
      <c r="AR48" s="109">
        <v>0</v>
      </c>
      <c r="AS48" s="115">
        <v>0</v>
      </c>
      <c r="AT48" s="115">
        <v>0</v>
      </c>
      <c r="AU48" s="112">
        <v>0</v>
      </c>
      <c r="AV48" s="112">
        <v>0</v>
      </c>
      <c r="AW48" s="145">
        <v>0</v>
      </c>
      <c r="AX48" s="109">
        <v>0</v>
      </c>
      <c r="AY48" s="115">
        <v>0</v>
      </c>
      <c r="AZ48" s="115">
        <v>0</v>
      </c>
      <c r="BA48" s="112">
        <v>0</v>
      </c>
      <c r="BB48" s="112">
        <v>0</v>
      </c>
      <c r="BC48" s="110" t="s">
        <v>3755</v>
      </c>
      <c r="BD48" s="111">
        <v>2057</v>
      </c>
      <c r="BE48" s="111">
        <v>35173000</v>
      </c>
      <c r="BF48" s="110" t="s">
        <v>3755</v>
      </c>
      <c r="BG48" s="111">
        <v>936</v>
      </c>
      <c r="BH48" s="111">
        <v>14606000</v>
      </c>
      <c r="BI48" s="110" t="s">
        <v>3755</v>
      </c>
      <c r="BJ48" s="111">
        <v>2222</v>
      </c>
      <c r="BK48" s="111">
        <v>33467000</v>
      </c>
      <c r="BL48" s="110">
        <v>0</v>
      </c>
      <c r="BM48" s="111"/>
      <c r="BN48" s="111"/>
      <c r="BO48" s="110" t="s">
        <v>3755</v>
      </c>
      <c r="BP48" s="111">
        <v>692</v>
      </c>
      <c r="BQ48" s="111">
        <v>9611435</v>
      </c>
      <c r="BR48" s="110" t="s">
        <v>3755</v>
      </c>
      <c r="BS48" s="111">
        <v>6393</v>
      </c>
      <c r="BT48" s="111">
        <v>100098500</v>
      </c>
      <c r="BU48" s="110" t="s">
        <v>3755</v>
      </c>
      <c r="BV48" s="111">
        <v>5830</v>
      </c>
      <c r="BW48" s="111">
        <v>93303000</v>
      </c>
      <c r="BX48" s="110" t="s">
        <v>3755</v>
      </c>
      <c r="BY48" s="111">
        <v>668</v>
      </c>
      <c r="BZ48" s="111">
        <v>13363000</v>
      </c>
      <c r="CA48" s="110">
        <v>0</v>
      </c>
      <c r="CB48" s="111"/>
      <c r="CC48" s="111"/>
      <c r="CD48" s="110" t="s">
        <v>3755</v>
      </c>
      <c r="CE48" s="111">
        <v>147</v>
      </c>
      <c r="CF48" s="111">
        <v>1967500</v>
      </c>
      <c r="CG48" s="110" t="s">
        <v>3755</v>
      </c>
      <c r="CH48" s="111">
        <v>35293</v>
      </c>
      <c r="CI48" s="111">
        <v>456831000</v>
      </c>
      <c r="CJ48" s="110">
        <v>0</v>
      </c>
      <c r="CK48" s="112">
        <v>0</v>
      </c>
      <c r="CL48" s="111"/>
      <c r="CM48" s="111"/>
      <c r="CN48" s="141" t="s">
        <v>3770</v>
      </c>
      <c r="CO48" s="114" t="s">
        <v>4024</v>
      </c>
      <c r="CP48" s="110" t="s">
        <v>3765</v>
      </c>
      <c r="CQ48" s="111">
        <v>85204000</v>
      </c>
      <c r="CR48" s="141" t="s">
        <v>4025</v>
      </c>
      <c r="CS48" s="141" t="s">
        <v>4026</v>
      </c>
      <c r="CT48" s="110" t="s">
        <v>3767</v>
      </c>
      <c r="CU48" s="111">
        <v>80000000</v>
      </c>
      <c r="CV48" s="141" t="s">
        <v>4027</v>
      </c>
      <c r="CW48" s="141" t="s">
        <v>4028</v>
      </c>
      <c r="CX48" s="110" t="s">
        <v>3763</v>
      </c>
      <c r="CY48" s="111">
        <v>70000000</v>
      </c>
      <c r="CZ48" s="110" t="s">
        <v>3755</v>
      </c>
      <c r="DA48" s="110" t="s">
        <v>3755</v>
      </c>
      <c r="DB48" s="110">
        <v>0</v>
      </c>
      <c r="DC48" s="112" t="s">
        <v>4029</v>
      </c>
      <c r="DD48" s="115" t="s">
        <v>3716</v>
      </c>
      <c r="DE48" s="109" t="s">
        <v>4030</v>
      </c>
      <c r="DF48" s="144" t="s">
        <v>3716</v>
      </c>
    </row>
    <row r="49" spans="1:110" ht="35.1" customHeight="1" x14ac:dyDescent="0.2">
      <c r="A49" s="121" t="s">
        <v>1330</v>
      </c>
      <c r="B49" s="118" t="s">
        <v>1261</v>
      </c>
      <c r="C49" s="118" t="s">
        <v>1331</v>
      </c>
      <c r="D49" s="111">
        <v>3147</v>
      </c>
      <c r="E49" s="111">
        <v>74475300</v>
      </c>
      <c r="F49" s="111">
        <v>3145</v>
      </c>
      <c r="G49" s="111">
        <v>74465300</v>
      </c>
      <c r="H49" s="111">
        <v>524</v>
      </c>
      <c r="I49" s="111">
        <v>13912900</v>
      </c>
      <c r="J49" s="111">
        <v>0</v>
      </c>
      <c r="K49" s="111">
        <v>0</v>
      </c>
      <c r="L49" s="111">
        <v>21398053</v>
      </c>
      <c r="M49" s="111">
        <v>3160201</v>
      </c>
      <c r="N49" s="111">
        <v>0</v>
      </c>
      <c r="O49" s="111">
        <v>530308</v>
      </c>
      <c r="P49" s="111">
        <v>11473925</v>
      </c>
      <c r="Q49" s="111">
        <v>0</v>
      </c>
      <c r="R49" s="111">
        <v>36562487</v>
      </c>
      <c r="S49" s="146">
        <v>0.28731744618685656</v>
      </c>
      <c r="T49" s="146">
        <v>4.2432873717863508E-2</v>
      </c>
      <c r="U49" s="146">
        <v>0</v>
      </c>
      <c r="V49" s="146">
        <v>7.1205889737939957E-3</v>
      </c>
      <c r="W49" s="146">
        <v>0.15406349487682494</v>
      </c>
      <c r="X49" s="146">
        <v>0</v>
      </c>
      <c r="Y49" s="146">
        <v>0.49093440375533903</v>
      </c>
      <c r="Z49" s="112">
        <v>0</v>
      </c>
      <c r="AA49" s="115" t="s">
        <v>3716</v>
      </c>
      <c r="AB49" s="115">
        <v>0</v>
      </c>
      <c r="AC49" s="110" t="s">
        <v>3716</v>
      </c>
      <c r="AD49" s="115">
        <v>0</v>
      </c>
      <c r="AE49" s="110">
        <v>0</v>
      </c>
      <c r="AF49" s="110" t="s">
        <v>3755</v>
      </c>
      <c r="AG49" s="115" t="s">
        <v>3756</v>
      </c>
      <c r="AH49" s="115" t="s">
        <v>3756</v>
      </c>
      <c r="AI49" s="113"/>
      <c r="AJ49" s="116"/>
      <c r="AK49" s="109">
        <v>0</v>
      </c>
      <c r="AL49" s="109">
        <v>0</v>
      </c>
      <c r="AM49" s="115">
        <v>0</v>
      </c>
      <c r="AN49" s="115">
        <v>0</v>
      </c>
      <c r="AO49" s="112">
        <v>0</v>
      </c>
      <c r="AP49" s="112">
        <v>0</v>
      </c>
      <c r="AQ49" s="145">
        <v>0</v>
      </c>
      <c r="AR49" s="112">
        <v>0</v>
      </c>
      <c r="AS49" s="115">
        <v>0</v>
      </c>
      <c r="AT49" s="115">
        <v>0</v>
      </c>
      <c r="AU49" s="112">
        <v>0</v>
      </c>
      <c r="AV49" s="112">
        <v>0</v>
      </c>
      <c r="AW49" s="145">
        <v>0</v>
      </c>
      <c r="AX49" s="112">
        <v>0</v>
      </c>
      <c r="AY49" s="115">
        <v>0</v>
      </c>
      <c r="AZ49" s="115">
        <v>0</v>
      </c>
      <c r="BA49" s="112">
        <v>0</v>
      </c>
      <c r="BB49" s="112">
        <v>0</v>
      </c>
      <c r="BC49" s="110">
        <v>0</v>
      </c>
      <c r="BD49" s="111"/>
      <c r="BE49" s="111"/>
      <c r="BF49" s="110">
        <v>0</v>
      </c>
      <c r="BG49" s="111"/>
      <c r="BH49" s="111"/>
      <c r="BI49" s="110" t="s">
        <v>3755</v>
      </c>
      <c r="BJ49" s="111">
        <v>430</v>
      </c>
      <c r="BK49" s="111">
        <v>8932500</v>
      </c>
      <c r="BL49" s="110" t="s">
        <v>3755</v>
      </c>
      <c r="BM49" s="111">
        <v>734</v>
      </c>
      <c r="BN49" s="111">
        <v>19783800</v>
      </c>
      <c r="BO49" s="110" t="s">
        <v>3755</v>
      </c>
      <c r="BP49" s="111">
        <v>577</v>
      </c>
      <c r="BQ49" s="111">
        <v>11544800</v>
      </c>
      <c r="BR49" s="110">
        <v>0</v>
      </c>
      <c r="BS49" s="111"/>
      <c r="BT49" s="111"/>
      <c r="BU49" s="110">
        <v>0</v>
      </c>
      <c r="BV49" s="111"/>
      <c r="BW49" s="111"/>
      <c r="BX49" s="110">
        <v>0</v>
      </c>
      <c r="BY49" s="111"/>
      <c r="BZ49" s="111"/>
      <c r="CA49" s="110">
        <v>0</v>
      </c>
      <c r="CB49" s="111"/>
      <c r="CC49" s="111"/>
      <c r="CD49" s="110" t="s">
        <v>3755</v>
      </c>
      <c r="CE49" s="111">
        <v>175</v>
      </c>
      <c r="CF49" s="111">
        <v>2155500</v>
      </c>
      <c r="CG49" s="110" t="s">
        <v>3755</v>
      </c>
      <c r="CH49" s="111">
        <v>1231</v>
      </c>
      <c r="CI49" s="111">
        <v>32058700</v>
      </c>
      <c r="CJ49" s="110">
        <v>0</v>
      </c>
      <c r="CK49" s="112">
        <v>0</v>
      </c>
      <c r="CL49" s="111">
        <v>0</v>
      </c>
      <c r="CM49" s="111">
        <v>0</v>
      </c>
      <c r="CN49" s="141" t="s">
        <v>4031</v>
      </c>
      <c r="CO49" s="114" t="s">
        <v>4032</v>
      </c>
      <c r="CP49" s="110" t="s">
        <v>3768</v>
      </c>
      <c r="CQ49" s="111">
        <v>4240458</v>
      </c>
      <c r="CR49" s="141" t="s">
        <v>4033</v>
      </c>
      <c r="CS49" s="141" t="s">
        <v>4034</v>
      </c>
      <c r="CT49" s="110" t="s">
        <v>3758</v>
      </c>
      <c r="CU49" s="111">
        <v>3661000</v>
      </c>
      <c r="CV49" s="141" t="s">
        <v>3773</v>
      </c>
      <c r="CW49" s="141" t="s">
        <v>4035</v>
      </c>
      <c r="CX49" s="110" t="s">
        <v>3760</v>
      </c>
      <c r="CY49" s="111">
        <v>2784900</v>
      </c>
      <c r="CZ49" s="110" t="s">
        <v>3755</v>
      </c>
      <c r="DA49" s="110" t="s">
        <v>3755</v>
      </c>
      <c r="DB49" s="110" t="s">
        <v>3755</v>
      </c>
      <c r="DC49" s="112">
        <v>0</v>
      </c>
      <c r="DD49" s="115" t="s">
        <v>3762</v>
      </c>
      <c r="DE49" s="109">
        <v>0</v>
      </c>
      <c r="DF49" s="144" t="s">
        <v>3716</v>
      </c>
    </row>
    <row r="50" spans="1:110" ht="35.1" customHeight="1" x14ac:dyDescent="0.2">
      <c r="A50" s="121" t="s">
        <v>1332</v>
      </c>
      <c r="B50" s="118" t="s">
        <v>1261</v>
      </c>
      <c r="C50" s="118" t="s">
        <v>1333</v>
      </c>
      <c r="D50" s="111">
        <v>97777</v>
      </c>
      <c r="E50" s="111">
        <v>1458213300</v>
      </c>
      <c r="F50" s="111">
        <v>97777</v>
      </c>
      <c r="G50" s="111">
        <v>1458213300</v>
      </c>
      <c r="H50" s="111">
        <v>36216</v>
      </c>
      <c r="I50" s="111">
        <v>518847500</v>
      </c>
      <c r="J50" s="111">
        <v>0</v>
      </c>
      <c r="K50" s="111">
        <v>0</v>
      </c>
      <c r="L50" s="111">
        <v>378424618</v>
      </c>
      <c r="M50" s="111">
        <v>129540166</v>
      </c>
      <c r="N50" s="111">
        <v>8386374</v>
      </c>
      <c r="O50" s="111">
        <v>15890143</v>
      </c>
      <c r="P50" s="111">
        <v>174117801</v>
      </c>
      <c r="Q50" s="111">
        <v>12100</v>
      </c>
      <c r="R50" s="111">
        <v>706371202</v>
      </c>
      <c r="S50" s="146">
        <v>0.25951252673391473</v>
      </c>
      <c r="T50" s="146">
        <v>8.8834854269948027E-2</v>
      </c>
      <c r="U50" s="146">
        <v>5.7511298244228059E-3</v>
      </c>
      <c r="V50" s="146">
        <v>1.0896994973231967E-2</v>
      </c>
      <c r="W50" s="146">
        <v>0.11940489158890541</v>
      </c>
      <c r="X50" s="146">
        <v>8.2978258393336554E-6</v>
      </c>
      <c r="Y50" s="146">
        <v>0.48440869521626223</v>
      </c>
      <c r="Z50" s="112" t="s">
        <v>4036</v>
      </c>
      <c r="AA50" s="115" t="s">
        <v>3716</v>
      </c>
      <c r="AB50" s="115">
        <v>0</v>
      </c>
      <c r="AC50" s="110" t="s">
        <v>3716</v>
      </c>
      <c r="AD50" s="115">
        <v>0</v>
      </c>
      <c r="AE50" s="110">
        <v>0</v>
      </c>
      <c r="AF50" s="110" t="s">
        <v>3755</v>
      </c>
      <c r="AG50" s="115" t="s">
        <v>3756</v>
      </c>
      <c r="AH50" s="115" t="s">
        <v>3756</v>
      </c>
      <c r="AI50" s="113"/>
      <c r="AJ50" s="116"/>
      <c r="AK50" s="109">
        <v>0</v>
      </c>
      <c r="AL50" s="109">
        <v>0</v>
      </c>
      <c r="AM50" s="115">
        <v>0</v>
      </c>
      <c r="AN50" s="115">
        <v>0</v>
      </c>
      <c r="AO50" s="112">
        <v>0</v>
      </c>
      <c r="AP50" s="112">
        <v>0</v>
      </c>
      <c r="AQ50" s="145">
        <v>0</v>
      </c>
      <c r="AR50" s="109">
        <v>0</v>
      </c>
      <c r="AS50" s="115">
        <v>0</v>
      </c>
      <c r="AT50" s="115">
        <v>0</v>
      </c>
      <c r="AU50" s="112">
        <v>0</v>
      </c>
      <c r="AV50" s="112">
        <v>0</v>
      </c>
      <c r="AW50" s="145">
        <v>0</v>
      </c>
      <c r="AX50" s="109">
        <v>0</v>
      </c>
      <c r="AY50" s="115">
        <v>0</v>
      </c>
      <c r="AZ50" s="115">
        <v>0</v>
      </c>
      <c r="BA50" s="112">
        <v>0</v>
      </c>
      <c r="BB50" s="112">
        <v>0</v>
      </c>
      <c r="BC50" s="110" t="s">
        <v>3755</v>
      </c>
      <c r="BD50" s="111">
        <v>4391</v>
      </c>
      <c r="BE50" s="111">
        <v>65338300</v>
      </c>
      <c r="BF50" s="110">
        <v>0</v>
      </c>
      <c r="BG50" s="111"/>
      <c r="BH50" s="111"/>
      <c r="BI50" s="110" t="s">
        <v>3755</v>
      </c>
      <c r="BJ50" s="111">
        <v>4436</v>
      </c>
      <c r="BK50" s="111">
        <v>63972000</v>
      </c>
      <c r="BL50" s="110" t="s">
        <v>3755</v>
      </c>
      <c r="BM50" s="111">
        <v>7781</v>
      </c>
      <c r="BN50" s="111">
        <v>114258500</v>
      </c>
      <c r="BO50" s="110" t="s">
        <v>3755</v>
      </c>
      <c r="BP50" s="111">
        <v>3245</v>
      </c>
      <c r="BQ50" s="111">
        <v>64827000</v>
      </c>
      <c r="BR50" s="110">
        <v>0</v>
      </c>
      <c r="BS50" s="111"/>
      <c r="BT50" s="111"/>
      <c r="BU50" s="110" t="s">
        <v>3755</v>
      </c>
      <c r="BV50" s="111">
        <v>4996</v>
      </c>
      <c r="BW50" s="111">
        <v>82419000</v>
      </c>
      <c r="BX50" s="110" t="s">
        <v>3755</v>
      </c>
      <c r="BY50" s="111">
        <v>6371</v>
      </c>
      <c r="BZ50" s="111">
        <v>101898000</v>
      </c>
      <c r="CA50" s="110" t="s">
        <v>3755</v>
      </c>
      <c r="CB50" s="111">
        <v>4074</v>
      </c>
      <c r="CC50" s="111">
        <v>56823500</v>
      </c>
      <c r="CD50" s="110">
        <v>0</v>
      </c>
      <c r="CE50" s="111"/>
      <c r="CF50" s="111"/>
      <c r="CG50" s="110">
        <v>0</v>
      </c>
      <c r="CH50" s="111"/>
      <c r="CI50" s="111"/>
      <c r="CJ50" s="110" t="s">
        <v>3755</v>
      </c>
      <c r="CK50" s="112" t="s">
        <v>4037</v>
      </c>
      <c r="CL50" s="111">
        <v>62483</v>
      </c>
      <c r="CM50" s="111">
        <v>908677000</v>
      </c>
      <c r="CN50" s="141" t="s">
        <v>4038</v>
      </c>
      <c r="CO50" s="114" t="s">
        <v>4039</v>
      </c>
      <c r="CP50" s="110" t="s">
        <v>3764</v>
      </c>
      <c r="CQ50" s="111">
        <v>8000000</v>
      </c>
      <c r="CR50" s="141" t="s">
        <v>4040</v>
      </c>
      <c r="CS50" s="141" t="s">
        <v>4041</v>
      </c>
      <c r="CT50" s="110" t="s">
        <v>3760</v>
      </c>
      <c r="CU50" s="111">
        <v>29000000</v>
      </c>
      <c r="CV50" s="141" t="s">
        <v>4042</v>
      </c>
      <c r="CW50" s="141" t="s">
        <v>4043</v>
      </c>
      <c r="CX50" s="110" t="s">
        <v>3771</v>
      </c>
      <c r="CY50" s="111">
        <v>35000000</v>
      </c>
      <c r="CZ50" s="110" t="s">
        <v>3755</v>
      </c>
      <c r="DA50" s="110" t="s">
        <v>3755</v>
      </c>
      <c r="DB50" s="110">
        <v>0</v>
      </c>
      <c r="DC50" s="112" t="s">
        <v>4044</v>
      </c>
      <c r="DD50" s="115" t="s">
        <v>3716</v>
      </c>
      <c r="DE50" s="109" t="s">
        <v>4045</v>
      </c>
      <c r="DF50" s="144" t="s">
        <v>3716</v>
      </c>
    </row>
    <row r="51" spans="1:110" ht="35.1" customHeight="1" x14ac:dyDescent="0.2">
      <c r="A51" s="121" t="s">
        <v>1334</v>
      </c>
      <c r="B51" s="118" t="s">
        <v>1261</v>
      </c>
      <c r="C51" s="118" t="s">
        <v>4046</v>
      </c>
      <c r="D51" s="111">
        <v>50619</v>
      </c>
      <c r="E51" s="111">
        <v>867700022</v>
      </c>
      <c r="F51" s="111">
        <v>50610</v>
      </c>
      <c r="G51" s="111">
        <v>867265656</v>
      </c>
      <c r="H51" s="111">
        <v>18684</v>
      </c>
      <c r="I51" s="111">
        <v>330008000</v>
      </c>
      <c r="J51" s="111">
        <v>0</v>
      </c>
      <c r="K51" s="111">
        <v>0</v>
      </c>
      <c r="L51" s="111">
        <v>239567870</v>
      </c>
      <c r="M51" s="111">
        <v>67983712</v>
      </c>
      <c r="N51" s="111">
        <v>3971082</v>
      </c>
      <c r="O51" s="111">
        <v>7679062</v>
      </c>
      <c r="P51" s="111">
        <v>102734171</v>
      </c>
      <c r="Q51" s="111">
        <v>0</v>
      </c>
      <c r="R51" s="111">
        <v>421935897</v>
      </c>
      <c r="S51" s="146">
        <v>0.27609526786435878</v>
      </c>
      <c r="T51" s="146">
        <v>7.8349326122294366E-2</v>
      </c>
      <c r="U51" s="146">
        <v>4.5765609073592948E-3</v>
      </c>
      <c r="V51" s="146">
        <v>8.8499041204357608E-3</v>
      </c>
      <c r="W51" s="146">
        <v>0.11839825791775768</v>
      </c>
      <c r="X51" s="146">
        <v>0</v>
      </c>
      <c r="Y51" s="146">
        <v>0.48626931693220582</v>
      </c>
      <c r="Z51" s="112">
        <v>0</v>
      </c>
      <c r="AA51" s="115" t="s">
        <v>3716</v>
      </c>
      <c r="AB51" s="115">
        <v>0</v>
      </c>
      <c r="AC51" s="110" t="s">
        <v>3716</v>
      </c>
      <c r="AD51" s="115">
        <v>0</v>
      </c>
      <c r="AE51" s="110">
        <v>0</v>
      </c>
      <c r="AF51" s="110" t="s">
        <v>3755</v>
      </c>
      <c r="AG51" s="115" t="s">
        <v>3756</v>
      </c>
      <c r="AH51" s="115" t="s">
        <v>3762</v>
      </c>
      <c r="AI51" s="113"/>
      <c r="AJ51" s="116"/>
      <c r="AK51" s="109">
        <v>0</v>
      </c>
      <c r="AL51" s="109">
        <v>0</v>
      </c>
      <c r="AM51" s="115">
        <v>0</v>
      </c>
      <c r="AN51" s="115">
        <v>0</v>
      </c>
      <c r="AO51" s="112">
        <v>0</v>
      </c>
      <c r="AP51" s="112">
        <v>0</v>
      </c>
      <c r="AQ51" s="145">
        <v>0</v>
      </c>
      <c r="AR51" s="109">
        <v>0</v>
      </c>
      <c r="AS51" s="115">
        <v>0</v>
      </c>
      <c r="AT51" s="115">
        <v>0</v>
      </c>
      <c r="AU51" s="112">
        <v>0</v>
      </c>
      <c r="AV51" s="112">
        <v>0</v>
      </c>
      <c r="AW51" s="145">
        <v>0</v>
      </c>
      <c r="AX51" s="109">
        <v>0</v>
      </c>
      <c r="AY51" s="115">
        <v>0</v>
      </c>
      <c r="AZ51" s="115">
        <v>0</v>
      </c>
      <c r="BA51" s="112">
        <v>0</v>
      </c>
      <c r="BB51" s="112">
        <v>0</v>
      </c>
      <c r="BC51" s="110" t="s">
        <v>3755</v>
      </c>
      <c r="BD51" s="111">
        <v>1637</v>
      </c>
      <c r="BE51" s="111">
        <v>27330000</v>
      </c>
      <c r="BF51" s="110" t="s">
        <v>3755</v>
      </c>
      <c r="BG51" s="111">
        <v>5080</v>
      </c>
      <c r="BH51" s="111">
        <v>93829000</v>
      </c>
      <c r="BI51" s="110" t="s">
        <v>3755</v>
      </c>
      <c r="BJ51" s="111">
        <v>2192</v>
      </c>
      <c r="BK51" s="111">
        <v>42704500</v>
      </c>
      <c r="BL51" s="110" t="s">
        <v>3755</v>
      </c>
      <c r="BM51" s="111">
        <v>2632</v>
      </c>
      <c r="BN51" s="111">
        <v>44964000</v>
      </c>
      <c r="BO51" s="110" t="s">
        <v>3755</v>
      </c>
      <c r="BP51" s="111">
        <v>5081</v>
      </c>
      <c r="BQ51" s="111">
        <v>93829000</v>
      </c>
      <c r="BR51" s="110" t="s">
        <v>3755</v>
      </c>
      <c r="BS51" s="111">
        <v>2191</v>
      </c>
      <c r="BT51" s="111">
        <v>42704500</v>
      </c>
      <c r="BU51" s="110" t="s">
        <v>3755</v>
      </c>
      <c r="BV51" s="111">
        <v>851</v>
      </c>
      <c r="BW51" s="111">
        <v>14934000</v>
      </c>
      <c r="BX51" s="110" t="s">
        <v>3755</v>
      </c>
      <c r="BY51" s="111">
        <v>850</v>
      </c>
      <c r="BZ51" s="111">
        <v>14934000</v>
      </c>
      <c r="CA51" s="110" t="s">
        <v>3755</v>
      </c>
      <c r="CB51" s="111">
        <v>1277</v>
      </c>
      <c r="CC51" s="111">
        <v>22537000</v>
      </c>
      <c r="CD51" s="110" t="s">
        <v>3755</v>
      </c>
      <c r="CE51" s="111">
        <v>205</v>
      </c>
      <c r="CF51" s="111">
        <v>8397022</v>
      </c>
      <c r="CG51" s="110" t="s">
        <v>3755</v>
      </c>
      <c r="CH51" s="111">
        <v>28422</v>
      </c>
      <c r="CI51" s="111">
        <v>457840000</v>
      </c>
      <c r="CJ51" s="110" t="s">
        <v>3755</v>
      </c>
      <c r="CK51" s="112" t="s">
        <v>4047</v>
      </c>
      <c r="CL51" s="111">
        <v>201</v>
      </c>
      <c r="CM51" s="111">
        <v>3697000</v>
      </c>
      <c r="CN51" s="141" t="s">
        <v>4048</v>
      </c>
      <c r="CO51" s="114">
        <v>0</v>
      </c>
      <c r="CP51" s="110">
        <v>0</v>
      </c>
      <c r="CQ51" s="111">
        <v>0</v>
      </c>
      <c r="CR51" s="141">
        <v>0</v>
      </c>
      <c r="CS51" s="141">
        <v>0</v>
      </c>
      <c r="CT51" s="110">
        <v>0</v>
      </c>
      <c r="CU51" s="111">
        <v>0</v>
      </c>
      <c r="CV51" s="141">
        <v>0</v>
      </c>
      <c r="CW51" s="141">
        <v>0</v>
      </c>
      <c r="CX51" s="110">
        <v>0</v>
      </c>
      <c r="CY51" s="111">
        <v>0</v>
      </c>
      <c r="CZ51" s="110" t="s">
        <v>3755</v>
      </c>
      <c r="DA51" s="110" t="s">
        <v>3755</v>
      </c>
      <c r="DB51" s="110">
        <v>0</v>
      </c>
      <c r="DC51" s="112" t="s">
        <v>4049</v>
      </c>
      <c r="DD51" s="115" t="s">
        <v>3716</v>
      </c>
      <c r="DE51" s="109" t="s">
        <v>4050</v>
      </c>
      <c r="DF51" s="144" t="s">
        <v>3716</v>
      </c>
    </row>
    <row r="52" spans="1:110" ht="35.1" customHeight="1" x14ac:dyDescent="0.2">
      <c r="A52" s="121" t="s">
        <v>1335</v>
      </c>
      <c r="B52" s="118" t="s">
        <v>1261</v>
      </c>
      <c r="C52" s="118" t="s">
        <v>1336</v>
      </c>
      <c r="D52" s="111">
        <v>912</v>
      </c>
      <c r="E52" s="111">
        <v>14972000</v>
      </c>
      <c r="F52" s="111">
        <v>912</v>
      </c>
      <c r="G52" s="111">
        <v>14972000</v>
      </c>
      <c r="H52" s="111">
        <v>150</v>
      </c>
      <c r="I52" s="111">
        <v>2220000</v>
      </c>
      <c r="J52" s="111">
        <v>0</v>
      </c>
      <c r="K52" s="111">
        <v>0</v>
      </c>
      <c r="L52" s="111">
        <v>3292717</v>
      </c>
      <c r="M52" s="111">
        <v>920931</v>
      </c>
      <c r="N52" s="111">
        <v>0</v>
      </c>
      <c r="O52" s="111">
        <v>75395</v>
      </c>
      <c r="P52" s="111">
        <v>3261827</v>
      </c>
      <c r="Q52" s="111">
        <v>0</v>
      </c>
      <c r="R52" s="111">
        <v>7550870</v>
      </c>
      <c r="S52" s="146">
        <v>0.21992499332086562</v>
      </c>
      <c r="T52" s="146">
        <v>6.1510219075607803E-2</v>
      </c>
      <c r="U52" s="146">
        <v>0</v>
      </c>
      <c r="V52" s="146">
        <v>5.0357333689553833E-3</v>
      </c>
      <c r="W52" s="146">
        <v>0.21786180870959124</v>
      </c>
      <c r="X52" s="146">
        <v>0</v>
      </c>
      <c r="Y52" s="146">
        <v>0.50433275447502002</v>
      </c>
      <c r="Z52" s="112">
        <v>0</v>
      </c>
      <c r="AA52" s="115" t="s">
        <v>3716</v>
      </c>
      <c r="AB52" s="115">
        <v>0</v>
      </c>
      <c r="AC52" s="110" t="s">
        <v>3716</v>
      </c>
      <c r="AD52" s="115">
        <v>0</v>
      </c>
      <c r="AE52" s="110">
        <v>0</v>
      </c>
      <c r="AF52" s="110" t="s">
        <v>3755</v>
      </c>
      <c r="AG52" s="115" t="s">
        <v>3756</v>
      </c>
      <c r="AH52" s="115" t="s">
        <v>3762</v>
      </c>
      <c r="AI52" s="113"/>
      <c r="AJ52" s="116"/>
      <c r="AK52" s="109">
        <v>0</v>
      </c>
      <c r="AL52" s="109">
        <v>0</v>
      </c>
      <c r="AM52" s="115">
        <v>0</v>
      </c>
      <c r="AN52" s="115">
        <v>0</v>
      </c>
      <c r="AO52" s="112">
        <v>0</v>
      </c>
      <c r="AP52" s="112">
        <v>0</v>
      </c>
      <c r="AQ52" s="145">
        <v>0</v>
      </c>
      <c r="AR52" s="112">
        <v>0</v>
      </c>
      <c r="AS52" s="115">
        <v>0</v>
      </c>
      <c r="AT52" s="115">
        <v>0</v>
      </c>
      <c r="AU52" s="112">
        <v>0</v>
      </c>
      <c r="AV52" s="112">
        <v>0</v>
      </c>
      <c r="AW52" s="145">
        <v>0</v>
      </c>
      <c r="AX52" s="112">
        <v>0</v>
      </c>
      <c r="AY52" s="115">
        <v>0</v>
      </c>
      <c r="AZ52" s="115">
        <v>0</v>
      </c>
      <c r="BA52" s="112">
        <v>0</v>
      </c>
      <c r="BB52" s="112">
        <v>0</v>
      </c>
      <c r="BC52" s="110">
        <v>0</v>
      </c>
      <c r="BD52" s="111"/>
      <c r="BE52" s="111"/>
      <c r="BF52" s="110">
        <v>0</v>
      </c>
      <c r="BG52" s="111"/>
      <c r="BH52" s="111"/>
      <c r="BI52" s="110" t="s">
        <v>3755</v>
      </c>
      <c r="BJ52" s="111">
        <v>193</v>
      </c>
      <c r="BK52" s="111">
        <v>3461000</v>
      </c>
      <c r="BL52" s="110">
        <v>0</v>
      </c>
      <c r="BM52" s="111"/>
      <c r="BN52" s="111"/>
      <c r="BO52" s="110" t="s">
        <v>3755</v>
      </c>
      <c r="BP52" s="111">
        <v>286</v>
      </c>
      <c r="BQ52" s="111">
        <v>4722000</v>
      </c>
      <c r="BR52" s="110">
        <v>0</v>
      </c>
      <c r="BS52" s="111"/>
      <c r="BT52" s="111"/>
      <c r="BU52" s="110">
        <v>0</v>
      </c>
      <c r="BV52" s="111"/>
      <c r="BW52" s="111"/>
      <c r="BX52" s="110">
        <v>0</v>
      </c>
      <c r="BY52" s="111"/>
      <c r="BZ52" s="111"/>
      <c r="CA52" s="110" t="s">
        <v>3755</v>
      </c>
      <c r="CB52" s="111">
        <v>113</v>
      </c>
      <c r="CC52" s="111">
        <v>1713000</v>
      </c>
      <c r="CD52" s="110">
        <v>0</v>
      </c>
      <c r="CE52" s="111">
        <v>0</v>
      </c>
      <c r="CF52" s="111">
        <v>0</v>
      </c>
      <c r="CG52" s="110" t="s">
        <v>3755</v>
      </c>
      <c r="CH52" s="111">
        <v>320</v>
      </c>
      <c r="CI52" s="111">
        <v>5076000</v>
      </c>
      <c r="CJ52" s="110">
        <v>0</v>
      </c>
      <c r="CK52" s="112">
        <v>0</v>
      </c>
      <c r="CL52" s="111">
        <v>0</v>
      </c>
      <c r="CM52" s="111">
        <v>0</v>
      </c>
      <c r="CN52" s="141" t="s">
        <v>4051</v>
      </c>
      <c r="CO52" s="114" t="s">
        <v>4052</v>
      </c>
      <c r="CP52" s="110" t="s">
        <v>3768</v>
      </c>
      <c r="CQ52" s="111">
        <v>4603000</v>
      </c>
      <c r="CR52" s="141" t="s">
        <v>4053</v>
      </c>
      <c r="CS52" s="141" t="s">
        <v>4054</v>
      </c>
      <c r="CT52" s="110" t="s">
        <v>3771</v>
      </c>
      <c r="CU52" s="111">
        <v>3000000</v>
      </c>
      <c r="CV52" s="141" t="s">
        <v>4055</v>
      </c>
      <c r="CW52" s="141" t="s">
        <v>4056</v>
      </c>
      <c r="CX52" s="110" t="s">
        <v>3768</v>
      </c>
      <c r="CY52" s="111">
        <v>2397000</v>
      </c>
      <c r="CZ52" s="110" t="s">
        <v>3755</v>
      </c>
      <c r="DA52" s="110" t="s">
        <v>3755</v>
      </c>
      <c r="DB52" s="110">
        <v>0</v>
      </c>
      <c r="DC52" s="112" t="s">
        <v>4057</v>
      </c>
      <c r="DD52" s="115" t="s">
        <v>3762</v>
      </c>
      <c r="DE52" s="109">
        <v>0</v>
      </c>
      <c r="DF52" s="144" t="s">
        <v>3716</v>
      </c>
    </row>
    <row r="53" spans="1:110" ht="35.1" customHeight="1" x14ac:dyDescent="0.2">
      <c r="A53" s="121" t="s">
        <v>1337</v>
      </c>
      <c r="B53" s="118" t="s">
        <v>1261</v>
      </c>
      <c r="C53" s="118" t="s">
        <v>1338</v>
      </c>
      <c r="D53" s="111">
        <v>4920</v>
      </c>
      <c r="E53" s="111">
        <v>60242000</v>
      </c>
      <c r="F53" s="111">
        <v>4912</v>
      </c>
      <c r="G53" s="111">
        <v>59712000</v>
      </c>
      <c r="H53" s="111">
        <v>1369</v>
      </c>
      <c r="I53" s="111">
        <v>15143000</v>
      </c>
      <c r="J53" s="111">
        <v>0</v>
      </c>
      <c r="K53" s="111">
        <v>0</v>
      </c>
      <c r="L53" s="111">
        <v>16218735</v>
      </c>
      <c r="M53" s="111">
        <v>7729993</v>
      </c>
      <c r="N53" s="111">
        <v>99440</v>
      </c>
      <c r="O53" s="111">
        <v>149296</v>
      </c>
      <c r="P53" s="111">
        <v>5740429</v>
      </c>
      <c r="Q53" s="111">
        <v>0</v>
      </c>
      <c r="R53" s="111">
        <v>29937893</v>
      </c>
      <c r="S53" s="146">
        <v>0.26922637030643071</v>
      </c>
      <c r="T53" s="146">
        <v>0.12831567677035954</v>
      </c>
      <c r="U53" s="146">
        <v>1.6506756083795359E-3</v>
      </c>
      <c r="V53" s="146">
        <v>2.4782709737392519E-3</v>
      </c>
      <c r="W53" s="146">
        <v>9.5289482420902363E-2</v>
      </c>
      <c r="X53" s="146">
        <v>0</v>
      </c>
      <c r="Y53" s="146">
        <v>0.49696047607981142</v>
      </c>
      <c r="Z53" s="112">
        <v>0</v>
      </c>
      <c r="AA53" s="115" t="s">
        <v>3762</v>
      </c>
      <c r="AB53" s="115">
        <v>0</v>
      </c>
      <c r="AC53" s="110" t="s">
        <v>3716</v>
      </c>
      <c r="AD53" s="115">
        <v>0</v>
      </c>
      <c r="AE53" s="110">
        <v>0</v>
      </c>
      <c r="AF53" s="110" t="s">
        <v>3755</v>
      </c>
      <c r="AG53" s="115" t="s">
        <v>3756</v>
      </c>
      <c r="AH53" s="115" t="s">
        <v>3756</v>
      </c>
      <c r="AI53" s="113"/>
      <c r="AJ53" s="116"/>
      <c r="AK53" s="109">
        <v>0</v>
      </c>
      <c r="AL53" s="109">
        <v>0</v>
      </c>
      <c r="AM53" s="115">
        <v>0</v>
      </c>
      <c r="AN53" s="115">
        <v>0</v>
      </c>
      <c r="AO53" s="112">
        <v>0</v>
      </c>
      <c r="AP53" s="112">
        <v>0</v>
      </c>
      <c r="AQ53" s="145">
        <v>0</v>
      </c>
      <c r="AR53" s="109">
        <v>0</v>
      </c>
      <c r="AS53" s="115">
        <v>0</v>
      </c>
      <c r="AT53" s="115">
        <v>0</v>
      </c>
      <c r="AU53" s="112">
        <v>0</v>
      </c>
      <c r="AV53" s="112">
        <v>0</v>
      </c>
      <c r="AW53" s="145">
        <v>0</v>
      </c>
      <c r="AX53" s="109">
        <v>0</v>
      </c>
      <c r="AY53" s="115">
        <v>0</v>
      </c>
      <c r="AZ53" s="115">
        <v>0</v>
      </c>
      <c r="BA53" s="112">
        <v>0</v>
      </c>
      <c r="BB53" s="112">
        <v>0</v>
      </c>
      <c r="BC53" s="110" t="s">
        <v>3755</v>
      </c>
      <c r="BD53" s="111"/>
      <c r="BE53" s="111"/>
      <c r="BF53" s="110" t="s">
        <v>3755</v>
      </c>
      <c r="BG53" s="111"/>
      <c r="BH53" s="111"/>
      <c r="BI53" s="110" t="s">
        <v>3755</v>
      </c>
      <c r="BJ53" s="111"/>
      <c r="BK53" s="111"/>
      <c r="BL53" s="110" t="s">
        <v>3755</v>
      </c>
      <c r="BM53" s="111"/>
      <c r="BN53" s="111"/>
      <c r="BO53" s="110" t="s">
        <v>3755</v>
      </c>
      <c r="BP53" s="111"/>
      <c r="BQ53" s="111"/>
      <c r="BR53" s="110" t="s">
        <v>3755</v>
      </c>
      <c r="BS53" s="111"/>
      <c r="BT53" s="111">
        <v>0</v>
      </c>
      <c r="BU53" s="110" t="s">
        <v>3755</v>
      </c>
      <c r="BV53" s="111">
        <v>0</v>
      </c>
      <c r="BW53" s="111">
        <v>0</v>
      </c>
      <c r="BX53" s="110" t="s">
        <v>3755</v>
      </c>
      <c r="BY53" s="111">
        <v>0</v>
      </c>
      <c r="BZ53" s="111">
        <v>0</v>
      </c>
      <c r="CA53" s="110" t="s">
        <v>3755</v>
      </c>
      <c r="CB53" s="111">
        <v>0</v>
      </c>
      <c r="CC53" s="111">
        <v>0</v>
      </c>
      <c r="CD53" s="110" t="s">
        <v>3755</v>
      </c>
      <c r="CE53" s="111">
        <v>0</v>
      </c>
      <c r="CF53" s="111">
        <v>0</v>
      </c>
      <c r="CG53" s="110">
        <v>0</v>
      </c>
      <c r="CH53" s="111"/>
      <c r="CI53" s="111"/>
      <c r="CJ53" s="110" t="s">
        <v>3755</v>
      </c>
      <c r="CK53" s="112" t="s">
        <v>4058</v>
      </c>
      <c r="CL53" s="111">
        <v>4920</v>
      </c>
      <c r="CM53" s="111">
        <v>60242000</v>
      </c>
      <c r="CN53" s="141" t="s">
        <v>4059</v>
      </c>
      <c r="CO53" s="114" t="s">
        <v>4060</v>
      </c>
      <c r="CP53" s="110" t="s">
        <v>3765</v>
      </c>
      <c r="CQ53" s="111">
        <v>4040000</v>
      </c>
      <c r="CR53" s="141" t="s">
        <v>4061</v>
      </c>
      <c r="CS53" s="141" t="s">
        <v>4062</v>
      </c>
      <c r="CT53" s="110" t="s">
        <v>3767</v>
      </c>
      <c r="CU53" s="111">
        <v>7463473</v>
      </c>
      <c r="CV53" s="141" t="s">
        <v>4063</v>
      </c>
      <c r="CW53" s="141" t="s">
        <v>4064</v>
      </c>
      <c r="CX53" s="110" t="s">
        <v>3760</v>
      </c>
      <c r="CY53" s="111">
        <v>2004000</v>
      </c>
      <c r="CZ53" s="110" t="s">
        <v>3755</v>
      </c>
      <c r="DA53" s="110" t="s">
        <v>3755</v>
      </c>
      <c r="DB53" s="110">
        <v>0</v>
      </c>
      <c r="DC53" s="112" t="s">
        <v>4065</v>
      </c>
      <c r="DD53" s="115" t="s">
        <v>3762</v>
      </c>
      <c r="DE53" s="109">
        <v>0</v>
      </c>
      <c r="DF53" s="144" t="s">
        <v>3716</v>
      </c>
    </row>
    <row r="54" spans="1:110" ht="35.1" customHeight="1" x14ac:dyDescent="0.2">
      <c r="A54" s="121" t="s">
        <v>1339</v>
      </c>
      <c r="B54" s="118" t="s">
        <v>1261</v>
      </c>
      <c r="C54" s="118" t="s">
        <v>1340</v>
      </c>
      <c r="D54" s="111">
        <v>1968</v>
      </c>
      <c r="E54" s="111">
        <v>20592000</v>
      </c>
      <c r="F54" s="111">
        <v>1968</v>
      </c>
      <c r="G54" s="111">
        <v>20592000</v>
      </c>
      <c r="H54" s="111">
        <v>285</v>
      </c>
      <c r="I54" s="111">
        <v>3404000</v>
      </c>
      <c r="J54" s="111">
        <v>0</v>
      </c>
      <c r="K54" s="111">
        <v>0</v>
      </c>
      <c r="L54" s="111">
        <v>5860871</v>
      </c>
      <c r="M54" s="111">
        <v>1898420</v>
      </c>
      <c r="N54" s="111">
        <v>0</v>
      </c>
      <c r="O54" s="111">
        <v>419047</v>
      </c>
      <c r="P54" s="111">
        <v>2109639</v>
      </c>
      <c r="Q54" s="111">
        <v>0</v>
      </c>
      <c r="R54" s="111">
        <v>10287977</v>
      </c>
      <c r="S54" s="146">
        <v>0.28461883255633258</v>
      </c>
      <c r="T54" s="146">
        <v>9.2192113442113435E-2</v>
      </c>
      <c r="U54" s="146">
        <v>0</v>
      </c>
      <c r="V54" s="146">
        <v>2.0349990287490287E-2</v>
      </c>
      <c r="W54" s="146">
        <v>0.10244944638694639</v>
      </c>
      <c r="X54" s="146">
        <v>0</v>
      </c>
      <c r="Y54" s="146">
        <v>0.49961038267288266</v>
      </c>
      <c r="Z54" s="112">
        <v>0</v>
      </c>
      <c r="AA54" s="115" t="s">
        <v>3716</v>
      </c>
      <c r="AB54" s="115">
        <v>0</v>
      </c>
      <c r="AC54" s="110" t="s">
        <v>3762</v>
      </c>
      <c r="AD54" s="115" t="s">
        <v>4066</v>
      </c>
      <c r="AE54" s="110">
        <v>0</v>
      </c>
      <c r="AF54" s="110">
        <v>0</v>
      </c>
      <c r="AG54" s="115" t="s">
        <v>3756</v>
      </c>
      <c r="AH54" s="115" t="s">
        <v>3756</v>
      </c>
      <c r="AI54" s="113"/>
      <c r="AJ54" s="116"/>
      <c r="AK54" s="109">
        <v>0</v>
      </c>
      <c r="AL54" s="109">
        <v>0</v>
      </c>
      <c r="AM54" s="115">
        <v>0</v>
      </c>
      <c r="AN54" s="115">
        <v>0</v>
      </c>
      <c r="AO54" s="112">
        <v>0</v>
      </c>
      <c r="AP54" s="112">
        <v>0</v>
      </c>
      <c r="AQ54" s="145">
        <v>0</v>
      </c>
      <c r="AR54" s="112">
        <v>0</v>
      </c>
      <c r="AS54" s="115">
        <v>0</v>
      </c>
      <c r="AT54" s="115">
        <v>0</v>
      </c>
      <c r="AU54" s="112">
        <v>0</v>
      </c>
      <c r="AV54" s="112">
        <v>0</v>
      </c>
      <c r="AW54" s="145">
        <v>0</v>
      </c>
      <c r="AX54" s="112">
        <v>0</v>
      </c>
      <c r="AY54" s="115">
        <v>0</v>
      </c>
      <c r="AZ54" s="115">
        <v>0</v>
      </c>
      <c r="BA54" s="112">
        <v>0</v>
      </c>
      <c r="BB54" s="112">
        <v>0</v>
      </c>
      <c r="BC54" s="110">
        <v>0</v>
      </c>
      <c r="BD54" s="111"/>
      <c r="BE54" s="111"/>
      <c r="BF54" s="110">
        <v>0</v>
      </c>
      <c r="BG54" s="111"/>
      <c r="BH54" s="111"/>
      <c r="BI54" s="110">
        <v>0</v>
      </c>
      <c r="BJ54" s="111"/>
      <c r="BK54" s="111"/>
      <c r="BL54" s="110">
        <v>0</v>
      </c>
      <c r="BM54" s="111"/>
      <c r="BN54" s="111"/>
      <c r="BO54" s="110">
        <v>0</v>
      </c>
      <c r="BP54" s="111"/>
      <c r="BQ54" s="111"/>
      <c r="BR54" s="110">
        <v>0</v>
      </c>
      <c r="BS54" s="111"/>
      <c r="BT54" s="111"/>
      <c r="BU54" s="110">
        <v>0</v>
      </c>
      <c r="BV54" s="111"/>
      <c r="BW54" s="111"/>
      <c r="BX54" s="110">
        <v>0</v>
      </c>
      <c r="BY54" s="111"/>
      <c r="BZ54" s="111"/>
      <c r="CA54" s="110">
        <v>0</v>
      </c>
      <c r="CB54" s="111"/>
      <c r="CC54" s="111"/>
      <c r="CD54" s="110">
        <v>0</v>
      </c>
      <c r="CE54" s="111">
        <v>0</v>
      </c>
      <c r="CF54" s="111">
        <v>0</v>
      </c>
      <c r="CG54" s="110">
        <v>0</v>
      </c>
      <c r="CH54" s="111">
        <v>0</v>
      </c>
      <c r="CI54" s="111">
        <v>0</v>
      </c>
      <c r="CJ54" s="110">
        <v>0</v>
      </c>
      <c r="CK54" s="112">
        <v>0</v>
      </c>
      <c r="CL54" s="111">
        <v>0</v>
      </c>
      <c r="CM54" s="111">
        <v>0</v>
      </c>
      <c r="CN54" s="141">
        <v>0</v>
      </c>
      <c r="CO54" s="114">
        <v>0</v>
      </c>
      <c r="CP54" s="110">
        <v>0</v>
      </c>
      <c r="CQ54" s="111">
        <v>0</v>
      </c>
      <c r="CR54" s="141">
        <v>0</v>
      </c>
      <c r="CS54" s="141">
        <v>0</v>
      </c>
      <c r="CT54" s="110">
        <v>0</v>
      </c>
      <c r="CU54" s="111">
        <v>0</v>
      </c>
      <c r="CV54" s="141">
        <v>0</v>
      </c>
      <c r="CW54" s="141">
        <v>0</v>
      </c>
      <c r="CX54" s="110">
        <v>0</v>
      </c>
      <c r="CY54" s="111">
        <v>0</v>
      </c>
      <c r="CZ54" s="110" t="s">
        <v>3755</v>
      </c>
      <c r="DA54" s="110" t="s">
        <v>3755</v>
      </c>
      <c r="DB54" s="110">
        <v>0</v>
      </c>
      <c r="DC54" s="112" t="s">
        <v>4067</v>
      </c>
      <c r="DD54" s="115" t="s">
        <v>3762</v>
      </c>
      <c r="DE54" s="109">
        <v>0</v>
      </c>
      <c r="DF54" s="144" t="s">
        <v>3716</v>
      </c>
    </row>
    <row r="55" spans="1:110" ht="35.1" customHeight="1" x14ac:dyDescent="0.2">
      <c r="A55" s="121" t="s">
        <v>1341</v>
      </c>
      <c r="B55" s="118" t="s">
        <v>1261</v>
      </c>
      <c r="C55" s="118" t="s">
        <v>1342</v>
      </c>
      <c r="D55" s="111">
        <v>14491</v>
      </c>
      <c r="E55" s="111">
        <v>187745500</v>
      </c>
      <c r="F55" s="111">
        <v>14491</v>
      </c>
      <c r="G55" s="111">
        <v>187745500</v>
      </c>
      <c r="H55" s="111">
        <v>3728</v>
      </c>
      <c r="I55" s="111">
        <v>47538500</v>
      </c>
      <c r="J55" s="111">
        <v>0</v>
      </c>
      <c r="K55" s="111">
        <v>0</v>
      </c>
      <c r="L55" s="111">
        <v>51149732</v>
      </c>
      <c r="M55" s="111">
        <v>17106342</v>
      </c>
      <c r="N55" s="111">
        <v>781000</v>
      </c>
      <c r="O55" s="111">
        <v>517823</v>
      </c>
      <c r="P55" s="111">
        <v>23527183</v>
      </c>
      <c r="Q55" s="111">
        <v>0</v>
      </c>
      <c r="R55" s="111">
        <v>93082080</v>
      </c>
      <c r="S55" s="146">
        <v>0.27244185346652783</v>
      </c>
      <c r="T55" s="146">
        <v>9.1114524715638995E-2</v>
      </c>
      <c r="U55" s="146">
        <v>4.1598866550729575E-3</v>
      </c>
      <c r="V55" s="146">
        <v>2.7581113795004408E-3</v>
      </c>
      <c r="W55" s="146">
        <v>0.12531423123323862</v>
      </c>
      <c r="X55" s="146">
        <v>0</v>
      </c>
      <c r="Y55" s="146">
        <v>0.49578860744997882</v>
      </c>
      <c r="Z55" s="112">
        <v>0</v>
      </c>
      <c r="AA55" s="115" t="s">
        <v>3716</v>
      </c>
      <c r="AB55" s="115">
        <v>0</v>
      </c>
      <c r="AC55" s="110" t="s">
        <v>3716</v>
      </c>
      <c r="AD55" s="115">
        <v>0</v>
      </c>
      <c r="AE55" s="110">
        <v>0</v>
      </c>
      <c r="AF55" s="110" t="s">
        <v>3755</v>
      </c>
      <c r="AG55" s="115" t="s">
        <v>3756</v>
      </c>
      <c r="AH55" s="115" t="s">
        <v>3756</v>
      </c>
      <c r="AI55" s="113"/>
      <c r="AJ55" s="116"/>
      <c r="AK55" s="109">
        <v>0</v>
      </c>
      <c r="AL55" s="109">
        <v>0</v>
      </c>
      <c r="AM55" s="115">
        <v>0</v>
      </c>
      <c r="AN55" s="115">
        <v>0</v>
      </c>
      <c r="AO55" s="112">
        <v>0</v>
      </c>
      <c r="AP55" s="112">
        <v>0</v>
      </c>
      <c r="AQ55" s="145">
        <v>0</v>
      </c>
      <c r="AR55" s="109">
        <v>0</v>
      </c>
      <c r="AS55" s="115">
        <v>0</v>
      </c>
      <c r="AT55" s="115">
        <v>0</v>
      </c>
      <c r="AU55" s="112">
        <v>0</v>
      </c>
      <c r="AV55" s="112">
        <v>0</v>
      </c>
      <c r="AW55" s="145">
        <v>0</v>
      </c>
      <c r="AX55" s="109">
        <v>0</v>
      </c>
      <c r="AY55" s="115">
        <v>0</v>
      </c>
      <c r="AZ55" s="115">
        <v>0</v>
      </c>
      <c r="BA55" s="112">
        <v>0</v>
      </c>
      <c r="BB55" s="112">
        <v>0</v>
      </c>
      <c r="BC55" s="110" t="s">
        <v>3755</v>
      </c>
      <c r="BD55" s="111">
        <v>185</v>
      </c>
      <c r="BE55" s="111">
        <v>2259500</v>
      </c>
      <c r="BF55" s="110" t="s">
        <v>3755</v>
      </c>
      <c r="BG55" s="111">
        <v>783</v>
      </c>
      <c r="BH55" s="111">
        <v>9843500</v>
      </c>
      <c r="BI55" s="110" t="s">
        <v>3755</v>
      </c>
      <c r="BJ55" s="111">
        <v>521</v>
      </c>
      <c r="BK55" s="111">
        <v>6957000</v>
      </c>
      <c r="BL55" s="110" t="s">
        <v>3755</v>
      </c>
      <c r="BM55" s="111">
        <v>594</v>
      </c>
      <c r="BN55" s="111">
        <v>7861250</v>
      </c>
      <c r="BO55" s="110" t="s">
        <v>3755</v>
      </c>
      <c r="BP55" s="111">
        <v>782</v>
      </c>
      <c r="BQ55" s="111">
        <v>9843500</v>
      </c>
      <c r="BR55" s="110" t="s">
        <v>3755</v>
      </c>
      <c r="BS55" s="111">
        <v>521</v>
      </c>
      <c r="BT55" s="111">
        <v>6957000</v>
      </c>
      <c r="BU55" s="110" t="s">
        <v>3755</v>
      </c>
      <c r="BV55" s="111">
        <v>2015</v>
      </c>
      <c r="BW55" s="111">
        <v>26288000</v>
      </c>
      <c r="BX55" s="110" t="s">
        <v>3755</v>
      </c>
      <c r="BY55" s="111">
        <v>254</v>
      </c>
      <c r="BZ55" s="111">
        <v>3545500</v>
      </c>
      <c r="CA55" s="110" t="s">
        <v>3755</v>
      </c>
      <c r="CB55" s="111">
        <v>594</v>
      </c>
      <c r="CC55" s="111">
        <v>7861250</v>
      </c>
      <c r="CD55" s="110" t="s">
        <v>3755</v>
      </c>
      <c r="CE55" s="111">
        <v>94</v>
      </c>
      <c r="CF55" s="111">
        <v>1761000</v>
      </c>
      <c r="CG55" s="110" t="s">
        <v>3755</v>
      </c>
      <c r="CH55" s="111">
        <v>8148</v>
      </c>
      <c r="CI55" s="111">
        <v>104568000</v>
      </c>
      <c r="CJ55" s="110">
        <v>0</v>
      </c>
      <c r="CK55" s="112">
        <v>0</v>
      </c>
      <c r="CL55" s="111"/>
      <c r="CM55" s="111"/>
      <c r="CN55" s="141" t="s">
        <v>4068</v>
      </c>
      <c r="CO55" s="114" t="s">
        <v>4069</v>
      </c>
      <c r="CP55" s="110" t="s">
        <v>3768</v>
      </c>
      <c r="CQ55" s="111">
        <v>35094000</v>
      </c>
      <c r="CR55" s="141" t="s">
        <v>4070</v>
      </c>
      <c r="CS55" s="141" t="s">
        <v>4071</v>
      </c>
      <c r="CT55" s="110" t="s">
        <v>3760</v>
      </c>
      <c r="CU55" s="111">
        <v>6125000</v>
      </c>
      <c r="CV55" s="141" t="s">
        <v>4072</v>
      </c>
      <c r="CW55" s="141" t="s">
        <v>4073</v>
      </c>
      <c r="CX55" s="110" t="s">
        <v>3767</v>
      </c>
      <c r="CY55" s="111">
        <v>5444000</v>
      </c>
      <c r="CZ55" s="110" t="s">
        <v>3755</v>
      </c>
      <c r="DA55" s="110" t="s">
        <v>3755</v>
      </c>
      <c r="DB55" s="110" t="s">
        <v>3755</v>
      </c>
      <c r="DC55" s="112">
        <v>0</v>
      </c>
      <c r="DD55" s="115" t="s">
        <v>3762</v>
      </c>
      <c r="DE55" s="109">
        <v>0</v>
      </c>
      <c r="DF55" s="144" t="s">
        <v>3716</v>
      </c>
    </row>
    <row r="56" spans="1:110" ht="35.1" customHeight="1" x14ac:dyDescent="0.2">
      <c r="A56" s="121" t="s">
        <v>1343</v>
      </c>
      <c r="B56" s="118" t="s">
        <v>1261</v>
      </c>
      <c r="C56" s="118" t="s">
        <v>1344</v>
      </c>
      <c r="D56" s="111">
        <v>767</v>
      </c>
      <c r="E56" s="111">
        <v>15903725</v>
      </c>
      <c r="F56" s="111">
        <v>539</v>
      </c>
      <c r="G56" s="111">
        <v>11996000</v>
      </c>
      <c r="H56" s="111">
        <v>230</v>
      </c>
      <c r="I56" s="111">
        <v>4453000</v>
      </c>
      <c r="J56" s="111">
        <v>0</v>
      </c>
      <c r="K56" s="111">
        <v>0</v>
      </c>
      <c r="L56" s="111">
        <v>4203042</v>
      </c>
      <c r="M56" s="111">
        <v>331544</v>
      </c>
      <c r="N56" s="111">
        <v>0</v>
      </c>
      <c r="O56" s="111">
        <v>310988</v>
      </c>
      <c r="P56" s="111">
        <v>3057230</v>
      </c>
      <c r="Q56" s="111">
        <v>0</v>
      </c>
      <c r="R56" s="111">
        <v>7902804</v>
      </c>
      <c r="S56" s="146">
        <v>0.26428034941499556</v>
      </c>
      <c r="T56" s="146">
        <v>2.0846939946459083E-2</v>
      </c>
      <c r="U56" s="146">
        <v>0</v>
      </c>
      <c r="V56" s="146">
        <v>1.9554412566867196E-2</v>
      </c>
      <c r="W56" s="146">
        <v>0.19223358049765071</v>
      </c>
      <c r="X56" s="146">
        <v>0</v>
      </c>
      <c r="Y56" s="146">
        <v>0.49691528242597255</v>
      </c>
      <c r="Z56" s="112">
        <v>0</v>
      </c>
      <c r="AA56" s="115" t="s">
        <v>3716</v>
      </c>
      <c r="AB56" s="115">
        <v>0</v>
      </c>
      <c r="AC56" s="110" t="s">
        <v>3716</v>
      </c>
      <c r="AD56" s="115">
        <v>0</v>
      </c>
      <c r="AE56" s="110">
        <v>0</v>
      </c>
      <c r="AF56" s="110" t="s">
        <v>3755</v>
      </c>
      <c r="AG56" s="115" t="s">
        <v>3756</v>
      </c>
      <c r="AH56" s="115" t="s">
        <v>3756</v>
      </c>
      <c r="AI56" s="113"/>
      <c r="AJ56" s="116"/>
      <c r="AK56" s="109">
        <v>0</v>
      </c>
      <c r="AL56" s="109">
        <v>0</v>
      </c>
      <c r="AM56" s="115">
        <v>0</v>
      </c>
      <c r="AN56" s="115">
        <v>0</v>
      </c>
      <c r="AO56" s="112">
        <v>0</v>
      </c>
      <c r="AP56" s="112">
        <v>0</v>
      </c>
      <c r="AQ56" s="145">
        <v>0</v>
      </c>
      <c r="AR56" s="112">
        <v>0</v>
      </c>
      <c r="AS56" s="115">
        <v>0</v>
      </c>
      <c r="AT56" s="115">
        <v>0</v>
      </c>
      <c r="AU56" s="112">
        <v>0</v>
      </c>
      <c r="AV56" s="112">
        <v>0</v>
      </c>
      <c r="AW56" s="145">
        <v>0</v>
      </c>
      <c r="AX56" s="112">
        <v>0</v>
      </c>
      <c r="AY56" s="115">
        <v>0</v>
      </c>
      <c r="AZ56" s="115">
        <v>0</v>
      </c>
      <c r="BA56" s="112">
        <v>0</v>
      </c>
      <c r="BB56" s="112">
        <v>0</v>
      </c>
      <c r="BC56" s="110">
        <v>0</v>
      </c>
      <c r="BD56" s="111"/>
      <c r="BE56" s="111"/>
      <c r="BF56" s="110">
        <v>0</v>
      </c>
      <c r="BG56" s="111"/>
      <c r="BH56" s="111"/>
      <c r="BI56" s="110" t="s">
        <v>3755</v>
      </c>
      <c r="BJ56" s="111">
        <v>102</v>
      </c>
      <c r="BK56" s="111">
        <v>2456000</v>
      </c>
      <c r="BL56" s="110">
        <v>0</v>
      </c>
      <c r="BM56" s="111"/>
      <c r="BN56" s="111"/>
      <c r="BO56" s="110" t="s">
        <v>3755</v>
      </c>
      <c r="BP56" s="111">
        <v>123</v>
      </c>
      <c r="BQ56" s="111">
        <v>2721000</v>
      </c>
      <c r="BR56" s="110">
        <v>0</v>
      </c>
      <c r="BS56" s="111"/>
      <c r="BT56" s="111"/>
      <c r="BU56" s="110" t="s">
        <v>3755</v>
      </c>
      <c r="BV56" s="111">
        <v>141</v>
      </c>
      <c r="BW56" s="111">
        <v>3245000</v>
      </c>
      <c r="BX56" s="110">
        <v>0</v>
      </c>
      <c r="BY56" s="111"/>
      <c r="BZ56" s="111"/>
      <c r="CA56" s="110" t="s">
        <v>3755</v>
      </c>
      <c r="CB56" s="111">
        <v>56</v>
      </c>
      <c r="CC56" s="111">
        <v>961000</v>
      </c>
      <c r="CD56" s="110">
        <v>0</v>
      </c>
      <c r="CE56" s="111">
        <v>0</v>
      </c>
      <c r="CF56" s="111">
        <v>0</v>
      </c>
      <c r="CG56" s="110" t="s">
        <v>3755</v>
      </c>
      <c r="CH56" s="111">
        <v>344</v>
      </c>
      <c r="CI56" s="111">
        <v>6520725</v>
      </c>
      <c r="CJ56" s="110">
        <v>0</v>
      </c>
      <c r="CK56" s="112">
        <v>0</v>
      </c>
      <c r="CL56" s="111">
        <v>0</v>
      </c>
      <c r="CM56" s="111">
        <v>0</v>
      </c>
      <c r="CN56" s="141" t="s">
        <v>4074</v>
      </c>
      <c r="CO56" s="114" t="s">
        <v>4075</v>
      </c>
      <c r="CP56" s="110" t="s">
        <v>3764</v>
      </c>
      <c r="CQ56" s="111">
        <v>2377000</v>
      </c>
      <c r="CR56" s="141" t="s">
        <v>4076</v>
      </c>
      <c r="CS56" s="141" t="s">
        <v>4077</v>
      </c>
      <c r="CT56" s="110" t="s">
        <v>3763</v>
      </c>
      <c r="CU56" s="111">
        <v>1019000</v>
      </c>
      <c r="CV56" s="141" t="s">
        <v>4078</v>
      </c>
      <c r="CW56" s="141" t="s">
        <v>4079</v>
      </c>
      <c r="CX56" s="110" t="s">
        <v>3767</v>
      </c>
      <c r="CY56" s="111">
        <v>858000</v>
      </c>
      <c r="CZ56" s="110" t="s">
        <v>3755</v>
      </c>
      <c r="DA56" s="110" t="s">
        <v>3755</v>
      </c>
      <c r="DB56" s="110">
        <v>0</v>
      </c>
      <c r="DC56" s="112" t="s">
        <v>4080</v>
      </c>
      <c r="DD56" s="115" t="s">
        <v>3762</v>
      </c>
      <c r="DE56" s="109">
        <v>0</v>
      </c>
      <c r="DF56" s="144" t="s">
        <v>3716</v>
      </c>
    </row>
    <row r="57" spans="1:110" ht="35.1" customHeight="1" x14ac:dyDescent="0.2">
      <c r="A57" s="121" t="s">
        <v>1345</v>
      </c>
      <c r="B57" s="118" t="s">
        <v>1261</v>
      </c>
      <c r="C57" s="118" t="s">
        <v>1346</v>
      </c>
      <c r="D57" s="111">
        <v>2737</v>
      </c>
      <c r="E57" s="111">
        <v>211976300</v>
      </c>
      <c r="F57" s="111">
        <v>2737</v>
      </c>
      <c r="G57" s="111">
        <v>211976300</v>
      </c>
      <c r="H57" s="111">
        <v>483</v>
      </c>
      <c r="I57" s="111">
        <v>12772000</v>
      </c>
      <c r="J57" s="111">
        <v>0</v>
      </c>
      <c r="K57" s="111">
        <v>0</v>
      </c>
      <c r="L57" s="111">
        <v>58227933</v>
      </c>
      <c r="M57" s="111">
        <v>3774191</v>
      </c>
      <c r="N57" s="111">
        <v>0</v>
      </c>
      <c r="O57" s="111">
        <v>3041036</v>
      </c>
      <c r="P57" s="111">
        <v>33533446</v>
      </c>
      <c r="Q57" s="111">
        <v>0</v>
      </c>
      <c r="R57" s="111">
        <v>98576606</v>
      </c>
      <c r="S57" s="146">
        <v>0.27469076967566658</v>
      </c>
      <c r="T57" s="146">
        <v>1.7804778175673414E-2</v>
      </c>
      <c r="U57" s="146">
        <v>0</v>
      </c>
      <c r="V57" s="146">
        <v>1.4346113221147835E-2</v>
      </c>
      <c r="W57" s="146">
        <v>0.15819431700619363</v>
      </c>
      <c r="X57" s="146">
        <v>0</v>
      </c>
      <c r="Y57" s="146">
        <v>0.46503597807868141</v>
      </c>
      <c r="Z57" s="112">
        <v>0</v>
      </c>
      <c r="AA57" s="115" t="s">
        <v>3716</v>
      </c>
      <c r="AB57" s="115">
        <v>0</v>
      </c>
      <c r="AC57" s="110" t="s">
        <v>3716</v>
      </c>
      <c r="AD57" s="115">
        <v>0</v>
      </c>
      <c r="AE57" s="110">
        <v>0</v>
      </c>
      <c r="AF57" s="110" t="s">
        <v>3755</v>
      </c>
      <c r="AG57" s="115" t="s">
        <v>3756</v>
      </c>
      <c r="AH57" s="115" t="s">
        <v>3756</v>
      </c>
      <c r="AI57" s="113"/>
      <c r="AJ57" s="116"/>
      <c r="AK57" s="109">
        <v>0</v>
      </c>
      <c r="AL57" s="109">
        <v>0</v>
      </c>
      <c r="AM57" s="115">
        <v>0</v>
      </c>
      <c r="AN57" s="115">
        <v>0</v>
      </c>
      <c r="AO57" s="112">
        <v>0</v>
      </c>
      <c r="AP57" s="112">
        <v>0</v>
      </c>
      <c r="AQ57" s="145">
        <v>0</v>
      </c>
      <c r="AR57" s="112">
        <v>0</v>
      </c>
      <c r="AS57" s="115">
        <v>0</v>
      </c>
      <c r="AT57" s="115">
        <v>0</v>
      </c>
      <c r="AU57" s="112">
        <v>0</v>
      </c>
      <c r="AV57" s="112">
        <v>0</v>
      </c>
      <c r="AW57" s="145">
        <v>0</v>
      </c>
      <c r="AX57" s="112">
        <v>0</v>
      </c>
      <c r="AY57" s="115">
        <v>0</v>
      </c>
      <c r="AZ57" s="115">
        <v>0</v>
      </c>
      <c r="BA57" s="112">
        <v>0</v>
      </c>
      <c r="BB57" s="112">
        <v>0</v>
      </c>
      <c r="BC57" s="110">
        <v>0</v>
      </c>
      <c r="BD57" s="111"/>
      <c r="BE57" s="111"/>
      <c r="BF57" s="110" t="s">
        <v>3755</v>
      </c>
      <c r="BG57" s="111">
        <v>513</v>
      </c>
      <c r="BH57" s="111">
        <v>48028000</v>
      </c>
      <c r="BI57" s="110" t="s">
        <v>3755</v>
      </c>
      <c r="BJ57" s="111">
        <v>326</v>
      </c>
      <c r="BK57" s="111">
        <v>19783300</v>
      </c>
      <c r="BL57" s="110">
        <v>0</v>
      </c>
      <c r="BM57" s="111"/>
      <c r="BN57" s="111"/>
      <c r="BO57" s="110" t="s">
        <v>3755</v>
      </c>
      <c r="BP57" s="111">
        <v>531</v>
      </c>
      <c r="BQ57" s="111">
        <v>38100000</v>
      </c>
      <c r="BR57" s="110">
        <v>0</v>
      </c>
      <c r="BS57" s="111"/>
      <c r="BT57" s="111"/>
      <c r="BU57" s="110" t="s">
        <v>3755</v>
      </c>
      <c r="BV57" s="111">
        <v>478</v>
      </c>
      <c r="BW57" s="111">
        <v>28260000</v>
      </c>
      <c r="BX57" s="110">
        <v>0</v>
      </c>
      <c r="BY57" s="111"/>
      <c r="BZ57" s="111"/>
      <c r="CA57" s="110" t="s">
        <v>3755</v>
      </c>
      <c r="CB57" s="111">
        <v>237</v>
      </c>
      <c r="CC57" s="111">
        <v>14205000</v>
      </c>
      <c r="CD57" s="110">
        <v>0</v>
      </c>
      <c r="CE57" s="111">
        <v>0</v>
      </c>
      <c r="CF57" s="111">
        <v>0</v>
      </c>
      <c r="CG57" s="110" t="s">
        <v>3755</v>
      </c>
      <c r="CH57" s="111">
        <v>652</v>
      </c>
      <c r="CI57" s="111">
        <v>63600000</v>
      </c>
      <c r="CJ57" s="110">
        <v>0</v>
      </c>
      <c r="CK57" s="112">
        <v>0</v>
      </c>
      <c r="CL57" s="111">
        <v>0</v>
      </c>
      <c r="CM57" s="111">
        <v>0</v>
      </c>
      <c r="CN57" s="141" t="s">
        <v>4081</v>
      </c>
      <c r="CO57" s="114" t="s">
        <v>4082</v>
      </c>
      <c r="CP57" s="110" t="s">
        <v>3767</v>
      </c>
      <c r="CQ57" s="111">
        <v>43882000</v>
      </c>
      <c r="CR57" s="141" t="s">
        <v>4083</v>
      </c>
      <c r="CS57" s="141" t="s">
        <v>4084</v>
      </c>
      <c r="CT57" s="110" t="s">
        <v>3768</v>
      </c>
      <c r="CU57" s="111">
        <v>62510000</v>
      </c>
      <c r="CV57" s="141" t="s">
        <v>3769</v>
      </c>
      <c r="CW57" s="141" t="s">
        <v>4085</v>
      </c>
      <c r="CX57" s="110" t="s">
        <v>3760</v>
      </c>
      <c r="CY57" s="111">
        <v>2607000</v>
      </c>
      <c r="CZ57" s="110" t="s">
        <v>3755</v>
      </c>
      <c r="DA57" s="110" t="s">
        <v>3755</v>
      </c>
      <c r="DB57" s="110" t="s">
        <v>3755</v>
      </c>
      <c r="DC57" s="112">
        <v>0</v>
      </c>
      <c r="DD57" s="115" t="s">
        <v>3762</v>
      </c>
      <c r="DE57" s="109">
        <v>0</v>
      </c>
      <c r="DF57" s="144" t="s">
        <v>3716</v>
      </c>
    </row>
    <row r="58" spans="1:110" ht="35.1" customHeight="1" x14ac:dyDescent="0.2">
      <c r="A58" s="121" t="s">
        <v>1347</v>
      </c>
      <c r="B58" s="118" t="s">
        <v>1261</v>
      </c>
      <c r="C58" s="118" t="s">
        <v>1348</v>
      </c>
      <c r="D58" s="111">
        <v>899</v>
      </c>
      <c r="E58" s="111">
        <v>14999500</v>
      </c>
      <c r="F58" s="111">
        <v>648</v>
      </c>
      <c r="G58" s="111">
        <v>10148500</v>
      </c>
      <c r="H58" s="111">
        <v>93</v>
      </c>
      <c r="I58" s="111">
        <v>1512000</v>
      </c>
      <c r="J58" s="111">
        <v>0</v>
      </c>
      <c r="K58" s="111">
        <v>0</v>
      </c>
      <c r="L58" s="111">
        <v>3747086</v>
      </c>
      <c r="M58" s="111">
        <v>852318</v>
      </c>
      <c r="N58" s="111">
        <v>0</v>
      </c>
      <c r="O58" s="111">
        <v>50873</v>
      </c>
      <c r="P58" s="111">
        <v>1959194</v>
      </c>
      <c r="Q58" s="111">
        <v>0</v>
      </c>
      <c r="R58" s="111">
        <v>6609471</v>
      </c>
      <c r="S58" s="146">
        <v>0.24981406046868229</v>
      </c>
      <c r="T58" s="146">
        <v>5.6823094103136775E-2</v>
      </c>
      <c r="U58" s="146">
        <v>0</v>
      </c>
      <c r="V58" s="146">
        <v>3.3916463882129404E-3</v>
      </c>
      <c r="W58" s="146">
        <v>0.13061728724290811</v>
      </c>
      <c r="X58" s="146">
        <v>0</v>
      </c>
      <c r="Y58" s="146">
        <v>0.4406460882029401</v>
      </c>
      <c r="Z58" s="112">
        <v>0</v>
      </c>
      <c r="AA58" s="115" t="s">
        <v>3716</v>
      </c>
      <c r="AB58" s="115">
        <v>0</v>
      </c>
      <c r="AC58" s="110" t="s">
        <v>3716</v>
      </c>
      <c r="AD58" s="115">
        <v>0</v>
      </c>
      <c r="AE58" s="110">
        <v>0</v>
      </c>
      <c r="AF58" s="110" t="s">
        <v>3755</v>
      </c>
      <c r="AG58" s="115" t="s">
        <v>3756</v>
      </c>
      <c r="AH58" s="115" t="s">
        <v>3762</v>
      </c>
      <c r="AI58" s="113"/>
      <c r="AJ58" s="116"/>
      <c r="AK58" s="109">
        <v>0</v>
      </c>
      <c r="AL58" s="109">
        <v>0</v>
      </c>
      <c r="AM58" s="115">
        <v>0</v>
      </c>
      <c r="AN58" s="115">
        <v>0</v>
      </c>
      <c r="AO58" s="112">
        <v>0</v>
      </c>
      <c r="AP58" s="112">
        <v>0</v>
      </c>
      <c r="AQ58" s="145">
        <v>0</v>
      </c>
      <c r="AR58" s="109">
        <v>0</v>
      </c>
      <c r="AS58" s="115">
        <v>0</v>
      </c>
      <c r="AT58" s="115">
        <v>0</v>
      </c>
      <c r="AU58" s="112">
        <v>0</v>
      </c>
      <c r="AV58" s="112">
        <v>0</v>
      </c>
      <c r="AW58" s="145">
        <v>0</v>
      </c>
      <c r="AX58" s="109">
        <v>0</v>
      </c>
      <c r="AY58" s="115">
        <v>0</v>
      </c>
      <c r="AZ58" s="115">
        <v>0</v>
      </c>
      <c r="BA58" s="112">
        <v>0</v>
      </c>
      <c r="BB58" s="112">
        <v>0</v>
      </c>
      <c r="BC58" s="110" t="s">
        <v>3755</v>
      </c>
      <c r="BD58" s="111">
        <v>63</v>
      </c>
      <c r="BE58" s="111">
        <v>928500</v>
      </c>
      <c r="BF58" s="110" t="s">
        <v>3755</v>
      </c>
      <c r="BG58" s="111">
        <v>12</v>
      </c>
      <c r="BH58" s="111">
        <v>168000</v>
      </c>
      <c r="BI58" s="110" t="s">
        <v>3755</v>
      </c>
      <c r="BJ58" s="111">
        <v>17</v>
      </c>
      <c r="BK58" s="111">
        <v>220500</v>
      </c>
      <c r="BL58" s="110" t="s">
        <v>3755</v>
      </c>
      <c r="BM58" s="111">
        <v>85</v>
      </c>
      <c r="BN58" s="111">
        <v>1211000</v>
      </c>
      <c r="BO58" s="110" t="s">
        <v>3755</v>
      </c>
      <c r="BP58" s="111">
        <v>47</v>
      </c>
      <c r="BQ58" s="111">
        <v>771000</v>
      </c>
      <c r="BR58" s="110" t="s">
        <v>3755</v>
      </c>
      <c r="BS58" s="111">
        <v>164</v>
      </c>
      <c r="BT58" s="111">
        <v>2653500</v>
      </c>
      <c r="BU58" s="110" t="s">
        <v>3755</v>
      </c>
      <c r="BV58" s="111">
        <v>47</v>
      </c>
      <c r="BW58" s="111">
        <v>771000</v>
      </c>
      <c r="BX58" s="110"/>
      <c r="BY58" s="111"/>
      <c r="BZ58" s="111"/>
      <c r="CA58" s="110"/>
      <c r="CB58" s="111"/>
      <c r="CC58" s="111"/>
      <c r="CD58" s="110"/>
      <c r="CE58" s="111"/>
      <c r="CF58" s="111"/>
      <c r="CG58" s="110"/>
      <c r="CH58" s="111"/>
      <c r="CI58" s="111"/>
      <c r="CJ58" s="110">
        <v>0</v>
      </c>
      <c r="CK58" s="112">
        <v>0</v>
      </c>
      <c r="CL58" s="111"/>
      <c r="CM58" s="111"/>
      <c r="CN58" s="141" t="s">
        <v>4086</v>
      </c>
      <c r="CO58" s="114" t="s">
        <v>4087</v>
      </c>
      <c r="CP58" s="110" t="s">
        <v>3761</v>
      </c>
      <c r="CQ58" s="111">
        <v>7000000</v>
      </c>
      <c r="CR58" s="141" t="s">
        <v>4088</v>
      </c>
      <c r="CS58" s="141" t="s">
        <v>4089</v>
      </c>
      <c r="CT58" s="110" t="s">
        <v>3765</v>
      </c>
      <c r="CU58" s="111">
        <v>12000000</v>
      </c>
      <c r="CV58" s="141" t="s">
        <v>4090</v>
      </c>
      <c r="CW58" s="141" t="s">
        <v>4091</v>
      </c>
      <c r="CX58" s="110" t="s">
        <v>3763</v>
      </c>
      <c r="CY58" s="111">
        <v>500000</v>
      </c>
      <c r="CZ58" s="110" t="s">
        <v>3755</v>
      </c>
      <c r="DA58" s="110">
        <v>0</v>
      </c>
      <c r="DB58" s="110">
        <v>0</v>
      </c>
      <c r="DC58" s="112" t="s">
        <v>4092</v>
      </c>
      <c r="DD58" s="115" t="s">
        <v>3762</v>
      </c>
      <c r="DE58" s="109">
        <v>0</v>
      </c>
      <c r="DF58" s="144" t="s">
        <v>3716</v>
      </c>
    </row>
    <row r="59" spans="1:110" ht="35.1" customHeight="1" x14ac:dyDescent="0.2">
      <c r="A59" s="121" t="s">
        <v>1349</v>
      </c>
      <c r="B59" s="118" t="s">
        <v>1261</v>
      </c>
      <c r="C59" s="118" t="s">
        <v>1350</v>
      </c>
      <c r="D59" s="111">
        <v>2397</v>
      </c>
      <c r="E59" s="111">
        <v>45110000</v>
      </c>
      <c r="F59" s="111">
        <v>2397</v>
      </c>
      <c r="G59" s="111">
        <v>45110000</v>
      </c>
      <c r="H59" s="111">
        <v>401</v>
      </c>
      <c r="I59" s="111">
        <v>5649000</v>
      </c>
      <c r="J59" s="111">
        <v>0</v>
      </c>
      <c r="K59" s="111">
        <v>0</v>
      </c>
      <c r="L59" s="111">
        <v>11921655</v>
      </c>
      <c r="M59" s="111">
        <v>2917067</v>
      </c>
      <c r="N59" s="111">
        <v>0</v>
      </c>
      <c r="O59" s="111">
        <v>340901</v>
      </c>
      <c r="P59" s="111">
        <v>7368023</v>
      </c>
      <c r="Q59" s="111">
        <v>0</v>
      </c>
      <c r="R59" s="111">
        <v>22547646</v>
      </c>
      <c r="S59" s="146">
        <v>0.26427964974506762</v>
      </c>
      <c r="T59" s="146">
        <v>6.4665639547772116E-2</v>
      </c>
      <c r="U59" s="146">
        <v>0</v>
      </c>
      <c r="V59" s="146">
        <v>7.5571048547993791E-3</v>
      </c>
      <c r="W59" s="146">
        <v>0.16333458213256485</v>
      </c>
      <c r="X59" s="146">
        <v>0</v>
      </c>
      <c r="Y59" s="146">
        <v>0.49983697628020396</v>
      </c>
      <c r="Z59" s="112">
        <v>0</v>
      </c>
      <c r="AA59" s="115" t="s">
        <v>3716</v>
      </c>
      <c r="AB59" s="115">
        <v>0</v>
      </c>
      <c r="AC59" s="110" t="s">
        <v>3716</v>
      </c>
      <c r="AD59" s="115">
        <v>0</v>
      </c>
      <c r="AE59" s="110">
        <v>0</v>
      </c>
      <c r="AF59" s="110" t="s">
        <v>3755</v>
      </c>
      <c r="AG59" s="115" t="s">
        <v>3756</v>
      </c>
      <c r="AH59" s="115" t="s">
        <v>3756</v>
      </c>
      <c r="AI59" s="113"/>
      <c r="AJ59" s="116"/>
      <c r="AK59" s="109">
        <v>0</v>
      </c>
      <c r="AL59" s="109">
        <v>0</v>
      </c>
      <c r="AM59" s="115">
        <v>0</v>
      </c>
      <c r="AN59" s="115">
        <v>0</v>
      </c>
      <c r="AO59" s="112">
        <v>0</v>
      </c>
      <c r="AP59" s="112">
        <v>0</v>
      </c>
      <c r="AQ59" s="145">
        <v>0</v>
      </c>
      <c r="AR59" s="109">
        <v>0</v>
      </c>
      <c r="AS59" s="115">
        <v>0</v>
      </c>
      <c r="AT59" s="115">
        <v>0</v>
      </c>
      <c r="AU59" s="112">
        <v>0</v>
      </c>
      <c r="AV59" s="112">
        <v>0</v>
      </c>
      <c r="AW59" s="145">
        <v>0</v>
      </c>
      <c r="AX59" s="109">
        <v>0</v>
      </c>
      <c r="AY59" s="115">
        <v>0</v>
      </c>
      <c r="AZ59" s="115">
        <v>0</v>
      </c>
      <c r="BA59" s="112">
        <v>0</v>
      </c>
      <c r="BB59" s="112">
        <v>0</v>
      </c>
      <c r="BC59" s="110" t="s">
        <v>3755</v>
      </c>
      <c r="BD59" s="111">
        <v>171</v>
      </c>
      <c r="BE59" s="111">
        <v>3946000</v>
      </c>
      <c r="BF59" s="110">
        <v>0</v>
      </c>
      <c r="BG59" s="111"/>
      <c r="BH59" s="111"/>
      <c r="BI59" s="110">
        <v>0</v>
      </c>
      <c r="BJ59" s="111"/>
      <c r="BK59" s="111"/>
      <c r="BL59" s="110" t="s">
        <v>3755</v>
      </c>
      <c r="BM59" s="111">
        <v>207</v>
      </c>
      <c r="BN59" s="111">
        <v>6043000</v>
      </c>
      <c r="BO59" s="110" t="s">
        <v>3755</v>
      </c>
      <c r="BP59" s="111">
        <v>181</v>
      </c>
      <c r="BQ59" s="111">
        <v>3527000</v>
      </c>
      <c r="BR59" s="110">
        <v>0</v>
      </c>
      <c r="BS59" s="111"/>
      <c r="BT59" s="111"/>
      <c r="BU59" s="110" t="s">
        <v>3755</v>
      </c>
      <c r="BV59" s="111">
        <v>131</v>
      </c>
      <c r="BW59" s="111">
        <v>3329000</v>
      </c>
      <c r="BX59" s="110" t="s">
        <v>3755</v>
      </c>
      <c r="BY59" s="111">
        <v>26</v>
      </c>
      <c r="BZ59" s="111">
        <v>807000</v>
      </c>
      <c r="CA59" s="110" t="s">
        <v>3755</v>
      </c>
      <c r="CB59" s="111">
        <v>173</v>
      </c>
      <c r="CC59" s="111">
        <v>3556000</v>
      </c>
      <c r="CD59" s="110">
        <v>0</v>
      </c>
      <c r="CE59" s="111"/>
      <c r="CF59" s="111"/>
      <c r="CG59" s="110" t="s">
        <v>3755</v>
      </c>
      <c r="CH59" s="111">
        <v>1384</v>
      </c>
      <c r="CI59" s="111">
        <v>23832000</v>
      </c>
      <c r="CJ59" s="110" t="s">
        <v>3755</v>
      </c>
      <c r="CK59" s="112" t="s">
        <v>4093</v>
      </c>
      <c r="CL59" s="111">
        <v>5</v>
      </c>
      <c r="CM59" s="111">
        <v>70000</v>
      </c>
      <c r="CN59" s="141" t="s">
        <v>4094</v>
      </c>
      <c r="CO59" s="114" t="s">
        <v>4095</v>
      </c>
      <c r="CP59" s="110" t="s">
        <v>3758</v>
      </c>
      <c r="CQ59" s="111">
        <v>1936000</v>
      </c>
      <c r="CR59" s="141">
        <v>0</v>
      </c>
      <c r="CS59" s="141">
        <v>0</v>
      </c>
      <c r="CT59" s="110">
        <v>0</v>
      </c>
      <c r="CU59" s="111">
        <v>0</v>
      </c>
      <c r="CV59" s="141">
        <v>0</v>
      </c>
      <c r="CW59" s="141">
        <v>0</v>
      </c>
      <c r="CX59" s="110">
        <v>0</v>
      </c>
      <c r="CY59" s="111">
        <v>0</v>
      </c>
      <c r="CZ59" s="110" t="s">
        <v>3755</v>
      </c>
      <c r="DA59" s="110">
        <v>0</v>
      </c>
      <c r="DB59" s="110">
        <v>0</v>
      </c>
      <c r="DC59" s="112" t="s">
        <v>4096</v>
      </c>
      <c r="DD59" s="115" t="s">
        <v>3762</v>
      </c>
      <c r="DE59" s="109">
        <v>0</v>
      </c>
      <c r="DF59" s="144" t="s">
        <v>3716</v>
      </c>
    </row>
    <row r="60" spans="1:110" ht="35.1" customHeight="1" x14ac:dyDescent="0.2">
      <c r="A60" s="121" t="s">
        <v>1351</v>
      </c>
      <c r="B60" s="118" t="s">
        <v>1261</v>
      </c>
      <c r="C60" s="118" t="s">
        <v>1352</v>
      </c>
      <c r="D60" s="111">
        <v>5236</v>
      </c>
      <c r="E60" s="111">
        <v>215219000</v>
      </c>
      <c r="F60" s="111">
        <v>5229</v>
      </c>
      <c r="G60" s="111">
        <v>214939000</v>
      </c>
      <c r="H60" s="111">
        <v>1032</v>
      </c>
      <c r="I60" s="111">
        <v>38074000</v>
      </c>
      <c r="J60" s="111">
        <v>173</v>
      </c>
      <c r="K60" s="111">
        <v>5175000</v>
      </c>
      <c r="L60" s="111">
        <v>56703943</v>
      </c>
      <c r="M60" s="111">
        <v>4602840</v>
      </c>
      <c r="N60" s="111">
        <v>0</v>
      </c>
      <c r="O60" s="111">
        <v>1278091</v>
      </c>
      <c r="P60" s="111">
        <v>27413407</v>
      </c>
      <c r="Q60" s="111">
        <v>0</v>
      </c>
      <c r="R60" s="111">
        <v>89998281</v>
      </c>
      <c r="S60" s="146">
        <v>0.26347089708622379</v>
      </c>
      <c r="T60" s="146">
        <v>2.1386773472602327E-2</v>
      </c>
      <c r="U60" s="146">
        <v>0</v>
      </c>
      <c r="V60" s="146">
        <v>5.9385602572263598E-3</v>
      </c>
      <c r="W60" s="146">
        <v>0.12737447437261579</v>
      </c>
      <c r="X60" s="146">
        <v>0</v>
      </c>
      <c r="Y60" s="146">
        <v>0.41817070518866828</v>
      </c>
      <c r="Z60" s="112">
        <v>0</v>
      </c>
      <c r="AA60" s="115" t="s">
        <v>3716</v>
      </c>
      <c r="AB60" s="115">
        <v>0</v>
      </c>
      <c r="AC60" s="110" t="s">
        <v>3716</v>
      </c>
      <c r="AD60" s="115">
        <v>0</v>
      </c>
      <c r="AE60" s="110">
        <v>0</v>
      </c>
      <c r="AF60" s="110" t="s">
        <v>3755</v>
      </c>
      <c r="AG60" s="115" t="s">
        <v>3756</v>
      </c>
      <c r="AH60" s="115" t="s">
        <v>3756</v>
      </c>
      <c r="AI60" s="113"/>
      <c r="AJ60" s="116"/>
      <c r="AK60" s="109">
        <v>0</v>
      </c>
      <c r="AL60" s="109">
        <v>0</v>
      </c>
      <c r="AM60" s="115">
        <v>0</v>
      </c>
      <c r="AN60" s="115">
        <v>0</v>
      </c>
      <c r="AO60" s="112">
        <v>0</v>
      </c>
      <c r="AP60" s="112">
        <v>0</v>
      </c>
      <c r="AQ60" s="145">
        <v>0</v>
      </c>
      <c r="AR60" s="109">
        <v>0</v>
      </c>
      <c r="AS60" s="115">
        <v>0</v>
      </c>
      <c r="AT60" s="115">
        <v>0</v>
      </c>
      <c r="AU60" s="112">
        <v>0</v>
      </c>
      <c r="AV60" s="112">
        <v>0</v>
      </c>
      <c r="AW60" s="145">
        <v>0</v>
      </c>
      <c r="AX60" s="109">
        <v>0</v>
      </c>
      <c r="AY60" s="115">
        <v>0</v>
      </c>
      <c r="AZ60" s="115">
        <v>0</v>
      </c>
      <c r="BA60" s="112">
        <v>0</v>
      </c>
      <c r="BB60" s="112">
        <v>0</v>
      </c>
      <c r="BC60" s="110" t="s">
        <v>3755</v>
      </c>
      <c r="BD60" s="111">
        <v>964</v>
      </c>
      <c r="BE60" s="111">
        <v>97272000</v>
      </c>
      <c r="BF60" s="110">
        <v>0</v>
      </c>
      <c r="BG60" s="111"/>
      <c r="BH60" s="111"/>
      <c r="BI60" s="110" t="s">
        <v>3755</v>
      </c>
      <c r="BJ60" s="111">
        <v>343</v>
      </c>
      <c r="BK60" s="111">
        <v>6814000</v>
      </c>
      <c r="BL60" s="110">
        <v>0</v>
      </c>
      <c r="BM60" s="111"/>
      <c r="BN60" s="111"/>
      <c r="BO60" s="110">
        <v>0</v>
      </c>
      <c r="BP60" s="111"/>
      <c r="BQ60" s="111"/>
      <c r="BR60" s="110" t="s">
        <v>3755</v>
      </c>
      <c r="BS60" s="111">
        <v>1516</v>
      </c>
      <c r="BT60" s="111">
        <v>37853000</v>
      </c>
      <c r="BU60" s="110">
        <v>0</v>
      </c>
      <c r="BV60" s="111"/>
      <c r="BW60" s="111"/>
      <c r="BX60" s="110">
        <v>0</v>
      </c>
      <c r="BY60" s="111"/>
      <c r="BZ60" s="111"/>
      <c r="CA60" s="110" t="s">
        <v>3755</v>
      </c>
      <c r="CB60" s="111">
        <v>637</v>
      </c>
      <c r="CC60" s="111">
        <v>19855000</v>
      </c>
      <c r="CD60" s="110" t="s">
        <v>3755</v>
      </c>
      <c r="CE60" s="111">
        <v>173</v>
      </c>
      <c r="CF60" s="111">
        <v>5175000</v>
      </c>
      <c r="CG60" s="110" t="s">
        <v>3755</v>
      </c>
      <c r="CH60" s="111">
        <v>1585</v>
      </c>
      <c r="CI60" s="111">
        <v>47860000</v>
      </c>
      <c r="CJ60" s="110" t="s">
        <v>3755</v>
      </c>
      <c r="CK60" s="112" t="s">
        <v>4097</v>
      </c>
      <c r="CL60" s="111">
        <v>18</v>
      </c>
      <c r="CM60" s="111">
        <v>390000</v>
      </c>
      <c r="CN60" s="141" t="s">
        <v>4098</v>
      </c>
      <c r="CO60" s="114" t="s">
        <v>4099</v>
      </c>
      <c r="CP60" s="110" t="s">
        <v>3765</v>
      </c>
      <c r="CQ60" s="111">
        <v>1969000</v>
      </c>
      <c r="CR60" s="141" t="s">
        <v>4100</v>
      </c>
      <c r="CS60" s="141" t="s">
        <v>4101</v>
      </c>
      <c r="CT60" s="110" t="s">
        <v>3764</v>
      </c>
      <c r="CU60" s="111">
        <v>348000</v>
      </c>
      <c r="CV60" s="141">
        <v>0</v>
      </c>
      <c r="CW60" s="141">
        <v>0</v>
      </c>
      <c r="CX60" s="110">
        <v>0</v>
      </c>
      <c r="CY60" s="111">
        <v>0</v>
      </c>
      <c r="CZ60" s="110" t="s">
        <v>3755</v>
      </c>
      <c r="DA60" s="110" t="s">
        <v>3755</v>
      </c>
      <c r="DB60" s="110" t="s">
        <v>3755</v>
      </c>
      <c r="DC60" s="112">
        <v>0</v>
      </c>
      <c r="DD60" s="115" t="s">
        <v>3762</v>
      </c>
      <c r="DE60" s="109">
        <v>0</v>
      </c>
      <c r="DF60" s="144" t="s">
        <v>3716</v>
      </c>
    </row>
    <row r="61" spans="1:110" ht="35.1" customHeight="1" x14ac:dyDescent="0.2">
      <c r="A61" s="121" t="s">
        <v>1353</v>
      </c>
      <c r="B61" s="118" t="s">
        <v>1261</v>
      </c>
      <c r="C61" s="118" t="s">
        <v>1354</v>
      </c>
      <c r="D61" s="111">
        <v>1988</v>
      </c>
      <c r="E61" s="111">
        <v>158710700</v>
      </c>
      <c r="F61" s="111">
        <v>1988</v>
      </c>
      <c r="G61" s="111">
        <v>158710700</v>
      </c>
      <c r="H61" s="111">
        <v>581</v>
      </c>
      <c r="I61" s="111">
        <v>14521500</v>
      </c>
      <c r="J61" s="111">
        <v>0</v>
      </c>
      <c r="K61" s="111">
        <v>0</v>
      </c>
      <c r="L61" s="111">
        <v>12393394</v>
      </c>
      <c r="M61" s="111">
        <v>4754792</v>
      </c>
      <c r="N61" s="111">
        <v>924000</v>
      </c>
      <c r="O61" s="111">
        <v>232501</v>
      </c>
      <c r="P61" s="111">
        <v>10345296</v>
      </c>
      <c r="Q61" s="111">
        <v>0</v>
      </c>
      <c r="R61" s="111">
        <v>28649983</v>
      </c>
      <c r="S61" s="146">
        <v>7.8087955002403744E-2</v>
      </c>
      <c r="T61" s="146">
        <v>2.9958862256924075E-2</v>
      </c>
      <c r="U61" s="146">
        <v>5.8219137084015125E-3</v>
      </c>
      <c r="V61" s="146">
        <v>1.4649358864903248E-3</v>
      </c>
      <c r="W61" s="146">
        <v>6.5183355627566386E-2</v>
      </c>
      <c r="X61" s="146">
        <v>0</v>
      </c>
      <c r="Y61" s="146">
        <v>0.18051702248178605</v>
      </c>
      <c r="Z61" s="112">
        <v>0</v>
      </c>
      <c r="AA61" s="115" t="s">
        <v>3763</v>
      </c>
      <c r="AB61" s="115">
        <v>0</v>
      </c>
      <c r="AC61" s="110" t="s">
        <v>3716</v>
      </c>
      <c r="AD61" s="115">
        <v>0</v>
      </c>
      <c r="AE61" s="110">
        <v>0</v>
      </c>
      <c r="AF61" s="110" t="s">
        <v>3755</v>
      </c>
      <c r="AG61" s="115" t="s">
        <v>3756</v>
      </c>
      <c r="AH61" s="115" t="s">
        <v>3756</v>
      </c>
      <c r="AI61" s="113"/>
      <c r="AJ61" s="116"/>
      <c r="AK61" s="109">
        <v>0</v>
      </c>
      <c r="AL61" s="109">
        <v>0</v>
      </c>
      <c r="AM61" s="115">
        <v>0</v>
      </c>
      <c r="AN61" s="115">
        <v>0</v>
      </c>
      <c r="AO61" s="112">
        <v>0</v>
      </c>
      <c r="AP61" s="112">
        <v>0</v>
      </c>
      <c r="AQ61" s="145">
        <v>0</v>
      </c>
      <c r="AR61" s="112">
        <v>0</v>
      </c>
      <c r="AS61" s="115">
        <v>0</v>
      </c>
      <c r="AT61" s="115">
        <v>0</v>
      </c>
      <c r="AU61" s="112">
        <v>0</v>
      </c>
      <c r="AV61" s="112">
        <v>0</v>
      </c>
      <c r="AW61" s="145">
        <v>0</v>
      </c>
      <c r="AX61" s="112">
        <v>0</v>
      </c>
      <c r="AY61" s="115">
        <v>0</v>
      </c>
      <c r="AZ61" s="115">
        <v>0</v>
      </c>
      <c r="BA61" s="112">
        <v>0</v>
      </c>
      <c r="BB61" s="112">
        <v>0</v>
      </c>
      <c r="BC61" s="110">
        <v>0</v>
      </c>
      <c r="BD61" s="111"/>
      <c r="BE61" s="111"/>
      <c r="BF61" s="110">
        <v>0</v>
      </c>
      <c r="BG61" s="111"/>
      <c r="BH61" s="111"/>
      <c r="BI61" s="110" t="s">
        <v>3755</v>
      </c>
      <c r="BJ61" s="111">
        <v>295</v>
      </c>
      <c r="BK61" s="111">
        <v>8392500</v>
      </c>
      <c r="BL61" s="110">
        <v>0</v>
      </c>
      <c r="BM61" s="111"/>
      <c r="BN61" s="111"/>
      <c r="BO61" s="110" t="s">
        <v>3755</v>
      </c>
      <c r="BP61" s="111">
        <v>504</v>
      </c>
      <c r="BQ61" s="111">
        <v>12915000</v>
      </c>
      <c r="BR61" s="110">
        <v>0</v>
      </c>
      <c r="BS61" s="111"/>
      <c r="BT61" s="111"/>
      <c r="BU61" s="110" t="s">
        <v>3755</v>
      </c>
      <c r="BV61" s="111">
        <v>171</v>
      </c>
      <c r="BW61" s="111">
        <v>3754000</v>
      </c>
      <c r="BX61" s="110" t="s">
        <v>3755</v>
      </c>
      <c r="BY61" s="111">
        <v>151</v>
      </c>
      <c r="BZ61" s="111">
        <v>3222000</v>
      </c>
      <c r="CA61" s="110">
        <v>0</v>
      </c>
      <c r="CB61" s="111"/>
      <c r="CC61" s="111"/>
      <c r="CD61" s="110">
        <v>0</v>
      </c>
      <c r="CE61" s="111">
        <v>0</v>
      </c>
      <c r="CF61" s="111">
        <v>0</v>
      </c>
      <c r="CG61" s="110" t="s">
        <v>3755</v>
      </c>
      <c r="CH61" s="111">
        <v>867</v>
      </c>
      <c r="CI61" s="111">
        <v>130427200</v>
      </c>
      <c r="CJ61" s="110">
        <v>0</v>
      </c>
      <c r="CK61" s="112">
        <v>0</v>
      </c>
      <c r="CL61" s="111">
        <v>0</v>
      </c>
      <c r="CM61" s="111">
        <v>0</v>
      </c>
      <c r="CN61" s="141" t="s">
        <v>4102</v>
      </c>
      <c r="CO61" s="114" t="s">
        <v>4103</v>
      </c>
      <c r="CP61" s="110" t="s">
        <v>3767</v>
      </c>
      <c r="CQ61" s="111">
        <v>1200000</v>
      </c>
      <c r="CR61" s="141" t="s">
        <v>3766</v>
      </c>
      <c r="CS61" s="141" t="s">
        <v>4104</v>
      </c>
      <c r="CT61" s="110" t="s">
        <v>3760</v>
      </c>
      <c r="CU61" s="111">
        <v>42000</v>
      </c>
      <c r="CV61" s="141">
        <v>0</v>
      </c>
      <c r="CW61" s="141">
        <v>0</v>
      </c>
      <c r="CX61" s="110">
        <v>0</v>
      </c>
      <c r="CY61" s="111">
        <v>0</v>
      </c>
      <c r="CZ61" s="110" t="s">
        <v>3755</v>
      </c>
      <c r="DA61" s="110">
        <v>0</v>
      </c>
      <c r="DB61" s="110">
        <v>0</v>
      </c>
      <c r="DC61" s="112" t="s">
        <v>4105</v>
      </c>
      <c r="DD61" s="115" t="s">
        <v>3716</v>
      </c>
      <c r="DE61" s="109" t="s">
        <v>4106</v>
      </c>
      <c r="DF61" s="144" t="s">
        <v>3716</v>
      </c>
    </row>
    <row r="62" spans="1:110" ht="35.1" customHeight="1" x14ac:dyDescent="0.2">
      <c r="A62" s="121" t="s">
        <v>1355</v>
      </c>
      <c r="B62" s="118" t="s">
        <v>1261</v>
      </c>
      <c r="C62" s="118" t="s">
        <v>1356</v>
      </c>
      <c r="D62" s="111">
        <v>22290</v>
      </c>
      <c r="E62" s="111">
        <v>416065500</v>
      </c>
      <c r="F62" s="111">
        <v>22289</v>
      </c>
      <c r="G62" s="111">
        <v>415465500</v>
      </c>
      <c r="H62" s="111">
        <v>6545</v>
      </c>
      <c r="I62" s="111">
        <v>124281000</v>
      </c>
      <c r="J62" s="111">
        <v>0</v>
      </c>
      <c r="K62" s="111">
        <v>0</v>
      </c>
      <c r="L62" s="111">
        <v>121075060</v>
      </c>
      <c r="M62" s="111">
        <v>51894980</v>
      </c>
      <c r="N62" s="111">
        <v>376577</v>
      </c>
      <c r="O62" s="111">
        <v>32724025</v>
      </c>
      <c r="P62" s="111">
        <v>1347236</v>
      </c>
      <c r="Q62" s="111">
        <v>0</v>
      </c>
      <c r="R62" s="111">
        <v>207417878</v>
      </c>
      <c r="S62" s="146">
        <v>0.29099999879826616</v>
      </c>
      <c r="T62" s="146">
        <v>0.12472790942772231</v>
      </c>
      <c r="U62" s="146">
        <v>9.050906648111896E-4</v>
      </c>
      <c r="V62" s="146">
        <v>7.8651137861706868E-2</v>
      </c>
      <c r="W62" s="146">
        <v>3.2380382415749445E-3</v>
      </c>
      <c r="X62" s="146">
        <v>0</v>
      </c>
      <c r="Y62" s="146">
        <v>0.49852217499408147</v>
      </c>
      <c r="Z62" s="112">
        <v>0</v>
      </c>
      <c r="AA62" s="115" t="s">
        <v>3716</v>
      </c>
      <c r="AB62" s="115">
        <v>0</v>
      </c>
      <c r="AC62" s="110" t="s">
        <v>3716</v>
      </c>
      <c r="AD62" s="115">
        <v>0</v>
      </c>
      <c r="AE62" s="110">
        <v>0</v>
      </c>
      <c r="AF62" s="110" t="s">
        <v>3755</v>
      </c>
      <c r="AG62" s="115" t="s">
        <v>3756</v>
      </c>
      <c r="AH62" s="115" t="s">
        <v>3756</v>
      </c>
      <c r="AI62" s="113"/>
      <c r="AJ62" s="116"/>
      <c r="AK62" s="109">
        <v>0</v>
      </c>
      <c r="AL62" s="109">
        <v>0</v>
      </c>
      <c r="AM62" s="115">
        <v>0</v>
      </c>
      <c r="AN62" s="115">
        <v>0</v>
      </c>
      <c r="AO62" s="112">
        <v>0</v>
      </c>
      <c r="AP62" s="112">
        <v>0</v>
      </c>
      <c r="AQ62" s="145">
        <v>0</v>
      </c>
      <c r="AR62" s="112">
        <v>0</v>
      </c>
      <c r="AS62" s="115">
        <v>0</v>
      </c>
      <c r="AT62" s="115">
        <v>0</v>
      </c>
      <c r="AU62" s="112">
        <v>0</v>
      </c>
      <c r="AV62" s="112">
        <v>0</v>
      </c>
      <c r="AW62" s="145">
        <v>0</v>
      </c>
      <c r="AX62" s="112">
        <v>0</v>
      </c>
      <c r="AY62" s="115">
        <v>0</v>
      </c>
      <c r="AZ62" s="115">
        <v>0</v>
      </c>
      <c r="BA62" s="112">
        <v>0</v>
      </c>
      <c r="BB62" s="112">
        <v>0</v>
      </c>
      <c r="BC62" s="110">
        <v>0</v>
      </c>
      <c r="BD62" s="111"/>
      <c r="BE62" s="111"/>
      <c r="BF62" s="110">
        <v>0</v>
      </c>
      <c r="BG62" s="111"/>
      <c r="BH62" s="111"/>
      <c r="BI62" s="110" t="s">
        <v>3755</v>
      </c>
      <c r="BJ62" s="111">
        <v>1542</v>
      </c>
      <c r="BK62" s="111">
        <v>27475500</v>
      </c>
      <c r="BL62" s="110" t="s">
        <v>3755</v>
      </c>
      <c r="BM62" s="111">
        <v>2427</v>
      </c>
      <c r="BN62" s="111">
        <v>45637500</v>
      </c>
      <c r="BO62" s="110">
        <v>0</v>
      </c>
      <c r="BP62" s="111"/>
      <c r="BQ62" s="111"/>
      <c r="BR62" s="110" t="s">
        <v>3755</v>
      </c>
      <c r="BS62" s="111">
        <v>8727</v>
      </c>
      <c r="BT62" s="111">
        <v>162440500</v>
      </c>
      <c r="BU62" s="110" t="s">
        <v>3755</v>
      </c>
      <c r="BV62" s="111">
        <v>1304</v>
      </c>
      <c r="BW62" s="111">
        <v>23157000</v>
      </c>
      <c r="BX62" s="110">
        <v>0</v>
      </c>
      <c r="BY62" s="111"/>
      <c r="BZ62" s="111"/>
      <c r="CA62" s="110">
        <v>0</v>
      </c>
      <c r="CB62" s="111"/>
      <c r="CC62" s="111"/>
      <c r="CD62" s="110">
        <v>0</v>
      </c>
      <c r="CE62" s="111">
        <v>0</v>
      </c>
      <c r="CF62" s="111">
        <v>0</v>
      </c>
      <c r="CG62" s="110" t="s">
        <v>3755</v>
      </c>
      <c r="CH62" s="111">
        <v>8290</v>
      </c>
      <c r="CI62" s="111">
        <v>157355000</v>
      </c>
      <c r="CJ62" s="110">
        <v>0</v>
      </c>
      <c r="CK62" s="112">
        <v>0</v>
      </c>
      <c r="CL62" s="111">
        <v>0</v>
      </c>
      <c r="CM62" s="111">
        <v>0</v>
      </c>
      <c r="CN62" s="141" t="s">
        <v>3770</v>
      </c>
      <c r="CO62" s="114" t="s">
        <v>4107</v>
      </c>
      <c r="CP62" s="110" t="s">
        <v>3765</v>
      </c>
      <c r="CQ62" s="111">
        <v>3500000</v>
      </c>
      <c r="CR62" s="141" t="s">
        <v>4001</v>
      </c>
      <c r="CS62" s="141" t="s">
        <v>4108</v>
      </c>
      <c r="CT62" s="110" t="s">
        <v>3765</v>
      </c>
      <c r="CU62" s="111">
        <v>3000000</v>
      </c>
      <c r="CV62" s="141" t="s">
        <v>3776</v>
      </c>
      <c r="CW62" s="141" t="s">
        <v>4109</v>
      </c>
      <c r="CX62" s="110" t="s">
        <v>3763</v>
      </c>
      <c r="CY62" s="111">
        <v>3000000</v>
      </c>
      <c r="CZ62" s="110" t="s">
        <v>3755</v>
      </c>
      <c r="DA62" s="110" t="s">
        <v>3755</v>
      </c>
      <c r="DB62" s="110" t="s">
        <v>3755</v>
      </c>
      <c r="DC62" s="112">
        <v>0</v>
      </c>
      <c r="DD62" s="115" t="s">
        <v>3716</v>
      </c>
      <c r="DE62" s="109" t="s">
        <v>4110</v>
      </c>
      <c r="DF62" s="144" t="s">
        <v>3716</v>
      </c>
    </row>
    <row r="63" spans="1:110" ht="35.1" customHeight="1" x14ac:dyDescent="0.2">
      <c r="A63" s="121" t="s">
        <v>1357</v>
      </c>
      <c r="B63" s="118" t="s">
        <v>1261</v>
      </c>
      <c r="C63" s="118" t="s">
        <v>1358</v>
      </c>
      <c r="D63" s="111">
        <v>19439</v>
      </c>
      <c r="E63" s="111">
        <v>249876000</v>
      </c>
      <c r="F63" s="111">
        <v>19439</v>
      </c>
      <c r="G63" s="111">
        <v>249876000</v>
      </c>
      <c r="H63" s="111">
        <v>3731</v>
      </c>
      <c r="I63" s="111">
        <v>48871000</v>
      </c>
      <c r="J63" s="111">
        <v>0</v>
      </c>
      <c r="K63" s="111">
        <v>0</v>
      </c>
      <c r="L63" s="111">
        <v>64780600</v>
      </c>
      <c r="M63" s="111">
        <v>20259375</v>
      </c>
      <c r="N63" s="111">
        <v>275000</v>
      </c>
      <c r="O63" s="111">
        <v>1344191</v>
      </c>
      <c r="P63" s="111">
        <v>38103386</v>
      </c>
      <c r="Q63" s="111">
        <v>0</v>
      </c>
      <c r="R63" s="111">
        <v>124762552</v>
      </c>
      <c r="S63" s="146">
        <v>0.25925098849029121</v>
      </c>
      <c r="T63" s="146">
        <v>8.107771454641502E-2</v>
      </c>
      <c r="U63" s="146">
        <v>1.100545870751893E-3</v>
      </c>
      <c r="V63" s="146">
        <v>5.3794321983703921E-3</v>
      </c>
      <c r="W63" s="146">
        <v>0.15248917863260178</v>
      </c>
      <c r="X63" s="146">
        <v>0</v>
      </c>
      <c r="Y63" s="146">
        <v>0.49929785973843027</v>
      </c>
      <c r="Z63" s="112">
        <v>0</v>
      </c>
      <c r="AA63" s="115" t="s">
        <v>3716</v>
      </c>
      <c r="AB63" s="115">
        <v>0</v>
      </c>
      <c r="AC63" s="110" t="s">
        <v>3716</v>
      </c>
      <c r="AD63" s="115">
        <v>0</v>
      </c>
      <c r="AE63" s="110">
        <v>0</v>
      </c>
      <c r="AF63" s="110" t="s">
        <v>3755</v>
      </c>
      <c r="AG63" s="115" t="s">
        <v>3756</v>
      </c>
      <c r="AH63" s="115" t="s">
        <v>3756</v>
      </c>
      <c r="AI63" s="113"/>
      <c r="AJ63" s="116"/>
      <c r="AK63" s="109">
        <v>0</v>
      </c>
      <c r="AL63" s="109" t="s">
        <v>4111</v>
      </c>
      <c r="AM63" s="115">
        <v>0</v>
      </c>
      <c r="AN63" s="115">
        <v>0</v>
      </c>
      <c r="AO63" s="112">
        <v>0</v>
      </c>
      <c r="AP63" s="112">
        <v>0</v>
      </c>
      <c r="AQ63" s="145">
        <v>0</v>
      </c>
      <c r="AR63" s="109">
        <v>0</v>
      </c>
      <c r="AS63" s="115">
        <v>0</v>
      </c>
      <c r="AT63" s="115">
        <v>0</v>
      </c>
      <c r="AU63" s="112">
        <v>0</v>
      </c>
      <c r="AV63" s="112">
        <v>16550000</v>
      </c>
      <c r="AW63" s="145">
        <v>0</v>
      </c>
      <c r="AX63" s="109">
        <v>0</v>
      </c>
      <c r="AY63" s="115">
        <v>0</v>
      </c>
      <c r="AZ63" s="115">
        <v>0</v>
      </c>
      <c r="BA63" s="112">
        <v>0</v>
      </c>
      <c r="BB63" s="112">
        <v>10265000</v>
      </c>
      <c r="BC63" s="110" t="s">
        <v>3755</v>
      </c>
      <c r="BD63" s="111">
        <v>1531</v>
      </c>
      <c r="BE63" s="111">
        <v>19996000</v>
      </c>
      <c r="BF63" s="110">
        <v>0</v>
      </c>
      <c r="BG63" s="111"/>
      <c r="BH63" s="111"/>
      <c r="BI63" s="110">
        <v>0</v>
      </c>
      <c r="BJ63" s="111"/>
      <c r="BK63" s="111"/>
      <c r="BL63" s="110" t="s">
        <v>3755</v>
      </c>
      <c r="BM63" s="111">
        <v>4596</v>
      </c>
      <c r="BN63" s="111">
        <v>57490000</v>
      </c>
      <c r="BO63" s="110">
        <v>0</v>
      </c>
      <c r="BP63" s="111"/>
      <c r="BQ63" s="111"/>
      <c r="BR63" s="110" t="s">
        <v>3755</v>
      </c>
      <c r="BS63" s="111">
        <v>5981</v>
      </c>
      <c r="BT63" s="111">
        <v>78971000</v>
      </c>
      <c r="BU63" s="110">
        <v>0</v>
      </c>
      <c r="BV63" s="111"/>
      <c r="BW63" s="111"/>
      <c r="BX63" s="110">
        <v>0</v>
      </c>
      <c r="BY63" s="111"/>
      <c r="BZ63" s="111"/>
      <c r="CA63" s="110">
        <v>0</v>
      </c>
      <c r="CB63" s="111"/>
      <c r="CC63" s="111"/>
      <c r="CD63" s="110">
        <v>0</v>
      </c>
      <c r="CE63" s="111"/>
      <c r="CF63" s="111"/>
      <c r="CG63" s="110" t="s">
        <v>3755</v>
      </c>
      <c r="CH63" s="111">
        <v>7331</v>
      </c>
      <c r="CI63" s="111">
        <v>93419000</v>
      </c>
      <c r="CJ63" s="110">
        <v>0</v>
      </c>
      <c r="CK63" s="112">
        <v>0</v>
      </c>
      <c r="CL63" s="111"/>
      <c r="CM63" s="111"/>
      <c r="CN63" s="141" t="s">
        <v>4112</v>
      </c>
      <c r="CO63" s="114" t="s">
        <v>4111</v>
      </c>
      <c r="CP63" s="110" t="s">
        <v>3765</v>
      </c>
      <c r="CQ63" s="111">
        <v>24531000</v>
      </c>
      <c r="CR63" s="141" t="s">
        <v>4112</v>
      </c>
      <c r="CS63" s="141" t="s">
        <v>4111</v>
      </c>
      <c r="CT63" s="110" t="s">
        <v>3765</v>
      </c>
      <c r="CU63" s="111">
        <v>16550000</v>
      </c>
      <c r="CV63" s="141" t="s">
        <v>4112</v>
      </c>
      <c r="CW63" s="141" t="s">
        <v>4111</v>
      </c>
      <c r="CX63" s="110" t="s">
        <v>3765</v>
      </c>
      <c r="CY63" s="111">
        <v>10265000</v>
      </c>
      <c r="CZ63" s="110" t="s">
        <v>3755</v>
      </c>
      <c r="DA63" s="110" t="s">
        <v>3755</v>
      </c>
      <c r="DB63" s="110" t="s">
        <v>3755</v>
      </c>
      <c r="DC63" s="112">
        <v>0</v>
      </c>
      <c r="DD63" s="115" t="s">
        <v>3716</v>
      </c>
      <c r="DE63" s="109" t="s">
        <v>4113</v>
      </c>
      <c r="DF63" s="144" t="s">
        <v>3716</v>
      </c>
    </row>
    <row r="64" spans="1:110" ht="35.1" customHeight="1" x14ac:dyDescent="0.2">
      <c r="A64" s="121" t="s">
        <v>1359</v>
      </c>
      <c r="B64" s="118" t="s">
        <v>1261</v>
      </c>
      <c r="C64" s="118" t="s">
        <v>1360</v>
      </c>
      <c r="D64" s="111">
        <v>2026</v>
      </c>
      <c r="E64" s="111">
        <v>105232000</v>
      </c>
      <c r="F64" s="111">
        <v>2026</v>
      </c>
      <c r="G64" s="111">
        <v>105232000</v>
      </c>
      <c r="H64" s="111">
        <v>469</v>
      </c>
      <c r="I64" s="111">
        <v>18164000</v>
      </c>
      <c r="J64" s="111">
        <v>0</v>
      </c>
      <c r="K64" s="111">
        <v>0</v>
      </c>
      <c r="L64" s="111">
        <v>29346597</v>
      </c>
      <c r="M64" s="111">
        <v>1322595</v>
      </c>
      <c r="N64" s="111">
        <v>0</v>
      </c>
      <c r="O64" s="111">
        <v>984452</v>
      </c>
      <c r="P64" s="111">
        <v>15669801</v>
      </c>
      <c r="Q64" s="111">
        <v>0</v>
      </c>
      <c r="R64" s="111">
        <v>47323445</v>
      </c>
      <c r="S64" s="146">
        <v>0.27887521856469516</v>
      </c>
      <c r="T64" s="146">
        <v>1.2568372738330546E-2</v>
      </c>
      <c r="U64" s="146">
        <v>0</v>
      </c>
      <c r="V64" s="146">
        <v>9.355063098677209E-3</v>
      </c>
      <c r="W64" s="146">
        <v>0.14890718602706401</v>
      </c>
      <c r="X64" s="146">
        <v>0</v>
      </c>
      <c r="Y64" s="146">
        <v>0.44970584042876693</v>
      </c>
      <c r="Z64" s="112">
        <v>0</v>
      </c>
      <c r="AA64" s="115" t="s">
        <v>3716</v>
      </c>
      <c r="AB64" s="115">
        <v>0</v>
      </c>
      <c r="AC64" s="110" t="s">
        <v>3716</v>
      </c>
      <c r="AD64" s="115">
        <v>0</v>
      </c>
      <c r="AE64" s="110">
        <v>0</v>
      </c>
      <c r="AF64" s="110" t="s">
        <v>3755</v>
      </c>
      <c r="AG64" s="115" t="s">
        <v>3756</v>
      </c>
      <c r="AH64" s="115" t="s">
        <v>3756</v>
      </c>
      <c r="AI64" s="113"/>
      <c r="AJ64" s="116"/>
      <c r="AK64" s="109">
        <v>0</v>
      </c>
      <c r="AL64" s="109">
        <v>0</v>
      </c>
      <c r="AM64" s="115">
        <v>0</v>
      </c>
      <c r="AN64" s="115">
        <v>0</v>
      </c>
      <c r="AO64" s="112">
        <v>0</v>
      </c>
      <c r="AP64" s="112">
        <v>0</v>
      </c>
      <c r="AQ64" s="145">
        <v>0</v>
      </c>
      <c r="AR64" s="109">
        <v>0</v>
      </c>
      <c r="AS64" s="115">
        <v>0</v>
      </c>
      <c r="AT64" s="115">
        <v>0</v>
      </c>
      <c r="AU64" s="112">
        <v>0</v>
      </c>
      <c r="AV64" s="112">
        <v>0</v>
      </c>
      <c r="AW64" s="145">
        <v>0</v>
      </c>
      <c r="AX64" s="109">
        <v>0</v>
      </c>
      <c r="AY64" s="115">
        <v>0</v>
      </c>
      <c r="AZ64" s="115">
        <v>0</v>
      </c>
      <c r="BA64" s="112">
        <v>0</v>
      </c>
      <c r="BB64" s="112">
        <v>0</v>
      </c>
      <c r="BC64" s="110" t="s">
        <v>3755</v>
      </c>
      <c r="BD64" s="111">
        <v>153</v>
      </c>
      <c r="BE64" s="111">
        <v>7578500</v>
      </c>
      <c r="BF64" s="110">
        <v>0</v>
      </c>
      <c r="BG64" s="111"/>
      <c r="BH64" s="111"/>
      <c r="BI64" s="110" t="s">
        <v>3755</v>
      </c>
      <c r="BJ64" s="111">
        <v>69</v>
      </c>
      <c r="BK64" s="111">
        <v>4565000</v>
      </c>
      <c r="BL64" s="110">
        <v>0</v>
      </c>
      <c r="BM64" s="111"/>
      <c r="BN64" s="111"/>
      <c r="BO64" s="110" t="s">
        <v>3755</v>
      </c>
      <c r="BP64" s="111">
        <v>89</v>
      </c>
      <c r="BQ64" s="111">
        <v>6128000</v>
      </c>
      <c r="BR64" s="110" t="s">
        <v>3755</v>
      </c>
      <c r="BS64" s="111">
        <v>84</v>
      </c>
      <c r="BT64" s="111">
        <v>5714000</v>
      </c>
      <c r="BU64" s="110" t="s">
        <v>3755</v>
      </c>
      <c r="BV64" s="111">
        <v>71</v>
      </c>
      <c r="BW64" s="111">
        <v>4183000</v>
      </c>
      <c r="BX64" s="110" t="s">
        <v>3755</v>
      </c>
      <c r="BY64" s="111">
        <v>56</v>
      </c>
      <c r="BZ64" s="111">
        <v>3240000</v>
      </c>
      <c r="CA64" s="110">
        <v>0</v>
      </c>
      <c r="CB64" s="111"/>
      <c r="CC64" s="111"/>
      <c r="CD64" s="110" t="s">
        <v>3755</v>
      </c>
      <c r="CE64" s="111">
        <v>146</v>
      </c>
      <c r="CF64" s="111">
        <v>2431000</v>
      </c>
      <c r="CG64" s="110" t="s">
        <v>3755</v>
      </c>
      <c r="CH64" s="111">
        <v>1358</v>
      </c>
      <c r="CI64" s="111">
        <v>71392500</v>
      </c>
      <c r="CJ64" s="110">
        <v>0</v>
      </c>
      <c r="CK64" s="112">
        <v>0</v>
      </c>
      <c r="CL64" s="111"/>
      <c r="CM64" s="111"/>
      <c r="CN64" s="141" t="s">
        <v>3772</v>
      </c>
      <c r="CO64" s="114" t="s">
        <v>4114</v>
      </c>
      <c r="CP64" s="110" t="s">
        <v>3765</v>
      </c>
      <c r="CQ64" s="111">
        <v>9000000</v>
      </c>
      <c r="CR64" s="141" t="s">
        <v>4115</v>
      </c>
      <c r="CS64" s="141" t="s">
        <v>4116</v>
      </c>
      <c r="CT64" s="110" t="s">
        <v>3765</v>
      </c>
      <c r="CU64" s="111">
        <v>5000000</v>
      </c>
      <c r="CV64" s="141" t="s">
        <v>4117</v>
      </c>
      <c r="CW64" s="141" t="s">
        <v>4118</v>
      </c>
      <c r="CX64" s="110" t="s">
        <v>3763</v>
      </c>
      <c r="CY64" s="111">
        <v>2800000</v>
      </c>
      <c r="CZ64" s="110" t="s">
        <v>3755</v>
      </c>
      <c r="DA64" s="110">
        <v>0</v>
      </c>
      <c r="DB64" s="110">
        <v>0</v>
      </c>
      <c r="DC64" s="112" t="s">
        <v>4119</v>
      </c>
      <c r="DD64" s="115" t="s">
        <v>3762</v>
      </c>
      <c r="DE64" s="109">
        <v>0</v>
      </c>
      <c r="DF64" s="144" t="s">
        <v>3716</v>
      </c>
    </row>
    <row r="65" spans="1:110" ht="35.1" customHeight="1" x14ac:dyDescent="0.2">
      <c r="A65" s="121" t="s">
        <v>1361</v>
      </c>
      <c r="B65" s="118" t="s">
        <v>1261</v>
      </c>
      <c r="C65" s="118" t="s">
        <v>1362</v>
      </c>
      <c r="D65" s="111">
        <v>422</v>
      </c>
      <c r="E65" s="111">
        <v>35911200</v>
      </c>
      <c r="F65" s="111">
        <v>422</v>
      </c>
      <c r="G65" s="111">
        <v>35911200</v>
      </c>
      <c r="H65" s="111">
        <v>66</v>
      </c>
      <c r="I65" s="111">
        <v>3300000</v>
      </c>
      <c r="J65" s="111">
        <v>0</v>
      </c>
      <c r="K65" s="111">
        <v>0</v>
      </c>
      <c r="L65" s="111">
        <v>2884662</v>
      </c>
      <c r="M65" s="111">
        <v>17116</v>
      </c>
      <c r="N65" s="111">
        <v>0</v>
      </c>
      <c r="O65" s="111">
        <v>198921</v>
      </c>
      <c r="P65" s="111">
        <v>4577899</v>
      </c>
      <c r="Q65" s="111">
        <v>0</v>
      </c>
      <c r="R65" s="111">
        <v>7678598</v>
      </c>
      <c r="S65" s="146">
        <v>8.0327641515738818E-2</v>
      </c>
      <c r="T65" s="146">
        <v>4.7662010737597186E-4</v>
      </c>
      <c r="U65" s="146">
        <v>0</v>
      </c>
      <c r="V65" s="146">
        <v>5.5392468087950278E-3</v>
      </c>
      <c r="W65" s="146">
        <v>0.127478307603199</v>
      </c>
      <c r="X65" s="146">
        <v>0</v>
      </c>
      <c r="Y65" s="146">
        <v>0.21382181603510883</v>
      </c>
      <c r="Z65" s="112">
        <v>0</v>
      </c>
      <c r="AA65" s="115" t="s">
        <v>3716</v>
      </c>
      <c r="AB65" s="115">
        <v>0</v>
      </c>
      <c r="AC65" s="110" t="s">
        <v>3716</v>
      </c>
      <c r="AD65" s="115">
        <v>0</v>
      </c>
      <c r="AE65" s="110">
        <v>0</v>
      </c>
      <c r="AF65" s="110" t="s">
        <v>3755</v>
      </c>
      <c r="AG65" s="115" t="s">
        <v>3756</v>
      </c>
      <c r="AH65" s="115" t="s">
        <v>3756</v>
      </c>
      <c r="AI65" s="113"/>
      <c r="AJ65" s="116"/>
      <c r="AK65" s="109">
        <v>0</v>
      </c>
      <c r="AL65" s="109">
        <v>0</v>
      </c>
      <c r="AM65" s="115">
        <v>0</v>
      </c>
      <c r="AN65" s="115">
        <v>0</v>
      </c>
      <c r="AO65" s="112">
        <v>0</v>
      </c>
      <c r="AP65" s="112">
        <v>0</v>
      </c>
      <c r="AQ65" s="145">
        <v>0</v>
      </c>
      <c r="AR65" s="109">
        <v>0</v>
      </c>
      <c r="AS65" s="115">
        <v>0</v>
      </c>
      <c r="AT65" s="115">
        <v>0</v>
      </c>
      <c r="AU65" s="112">
        <v>0</v>
      </c>
      <c r="AV65" s="112">
        <v>0</v>
      </c>
      <c r="AW65" s="145">
        <v>0</v>
      </c>
      <c r="AX65" s="109">
        <v>0</v>
      </c>
      <c r="AY65" s="115">
        <v>0</v>
      </c>
      <c r="AZ65" s="115">
        <v>0</v>
      </c>
      <c r="BA65" s="112">
        <v>0</v>
      </c>
      <c r="BB65" s="112">
        <v>0</v>
      </c>
      <c r="BC65" s="110" t="s">
        <v>3755</v>
      </c>
      <c r="BD65" s="111">
        <v>31</v>
      </c>
      <c r="BE65" s="111">
        <v>1070000</v>
      </c>
      <c r="BF65" s="110">
        <v>0</v>
      </c>
      <c r="BG65" s="111"/>
      <c r="BH65" s="111"/>
      <c r="BI65" s="110" t="s">
        <v>3755</v>
      </c>
      <c r="BJ65" s="111">
        <v>24</v>
      </c>
      <c r="BK65" s="111">
        <v>1048000</v>
      </c>
      <c r="BL65" s="110" t="s">
        <v>3755</v>
      </c>
      <c r="BM65" s="111">
        <v>19</v>
      </c>
      <c r="BN65" s="111">
        <v>629000</v>
      </c>
      <c r="BO65" s="110" t="s">
        <v>3755</v>
      </c>
      <c r="BP65" s="111">
        <v>55</v>
      </c>
      <c r="BQ65" s="111">
        <v>2059000</v>
      </c>
      <c r="BR65" s="110">
        <v>0</v>
      </c>
      <c r="BS65" s="111"/>
      <c r="BT65" s="111"/>
      <c r="BU65" s="110" t="s">
        <v>3755</v>
      </c>
      <c r="BV65" s="111">
        <v>41</v>
      </c>
      <c r="BW65" s="111">
        <v>1743000</v>
      </c>
      <c r="BX65" s="110" t="s">
        <v>3755</v>
      </c>
      <c r="BY65" s="111">
        <v>13</v>
      </c>
      <c r="BZ65" s="111">
        <v>455000</v>
      </c>
      <c r="CA65" s="110" t="s">
        <v>3755</v>
      </c>
      <c r="CB65" s="111">
        <v>11</v>
      </c>
      <c r="CC65" s="111">
        <v>904000</v>
      </c>
      <c r="CD65" s="110" t="s">
        <v>3755</v>
      </c>
      <c r="CE65" s="111">
        <v>57</v>
      </c>
      <c r="CF65" s="111">
        <v>953200</v>
      </c>
      <c r="CG65" s="110" t="s">
        <v>3755</v>
      </c>
      <c r="CH65" s="111">
        <v>171</v>
      </c>
      <c r="CI65" s="111">
        <v>27050000</v>
      </c>
      <c r="CJ65" s="110">
        <v>0</v>
      </c>
      <c r="CK65" s="112">
        <v>0</v>
      </c>
      <c r="CL65" s="111"/>
      <c r="CM65" s="111"/>
      <c r="CN65" s="141" t="s">
        <v>4120</v>
      </c>
      <c r="CO65" s="114">
        <v>0</v>
      </c>
      <c r="CP65" s="110">
        <v>0</v>
      </c>
      <c r="CQ65" s="111">
        <v>0</v>
      </c>
      <c r="CR65" s="141" t="s">
        <v>4120</v>
      </c>
      <c r="CS65" s="141">
        <v>0</v>
      </c>
      <c r="CT65" s="110">
        <v>0</v>
      </c>
      <c r="CU65" s="111">
        <v>0</v>
      </c>
      <c r="CV65" s="141" t="s">
        <v>4120</v>
      </c>
      <c r="CW65" s="141">
        <v>0</v>
      </c>
      <c r="CX65" s="110">
        <v>0</v>
      </c>
      <c r="CY65" s="111">
        <v>0</v>
      </c>
      <c r="CZ65" s="110" t="s">
        <v>3755</v>
      </c>
      <c r="DA65" s="110">
        <v>0</v>
      </c>
      <c r="DB65" s="110">
        <v>0</v>
      </c>
      <c r="DC65" s="112" t="s">
        <v>4121</v>
      </c>
      <c r="DD65" s="115" t="s">
        <v>3762</v>
      </c>
      <c r="DE65" s="109">
        <v>0</v>
      </c>
      <c r="DF65" s="144" t="s">
        <v>3716</v>
      </c>
    </row>
    <row r="66" spans="1:110" ht="35.1" customHeight="1" x14ac:dyDescent="0.2">
      <c r="A66" s="121" t="s">
        <v>1363</v>
      </c>
      <c r="B66" s="118" t="s">
        <v>1261</v>
      </c>
      <c r="C66" s="118" t="s">
        <v>1364</v>
      </c>
      <c r="D66" s="111">
        <v>2688</v>
      </c>
      <c r="E66" s="111">
        <v>158851152</v>
      </c>
      <c r="F66" s="111">
        <v>2687</v>
      </c>
      <c r="G66" s="111">
        <v>158841152</v>
      </c>
      <c r="H66" s="111">
        <v>556</v>
      </c>
      <c r="I66" s="111">
        <v>28252301</v>
      </c>
      <c r="J66" s="111">
        <v>0</v>
      </c>
      <c r="K66" s="111">
        <v>0</v>
      </c>
      <c r="L66" s="111">
        <v>46300293</v>
      </c>
      <c r="M66" s="111">
        <v>1703601</v>
      </c>
      <c r="N66" s="111">
        <v>0</v>
      </c>
      <c r="O66" s="111">
        <v>2528745</v>
      </c>
      <c r="P66" s="111">
        <v>28135687</v>
      </c>
      <c r="Q66" s="111">
        <v>0</v>
      </c>
      <c r="R66" s="111">
        <v>78668326</v>
      </c>
      <c r="S66" s="146">
        <v>0.2914696709281655</v>
      </c>
      <c r="T66" s="146">
        <v>1.0724511459633608E-2</v>
      </c>
      <c r="U66" s="146">
        <v>0</v>
      </c>
      <c r="V66" s="146">
        <v>1.5918959152401994E-2</v>
      </c>
      <c r="W66" s="146">
        <v>0.17711981717324907</v>
      </c>
      <c r="X66" s="146">
        <v>0</v>
      </c>
      <c r="Y66" s="146">
        <v>0.49523295871345019</v>
      </c>
      <c r="Z66" s="112">
        <v>0</v>
      </c>
      <c r="AA66" s="115" t="s">
        <v>3716</v>
      </c>
      <c r="AB66" s="115">
        <v>0</v>
      </c>
      <c r="AC66" s="110" t="s">
        <v>3716</v>
      </c>
      <c r="AD66" s="115">
        <v>0</v>
      </c>
      <c r="AE66" s="110" t="s">
        <v>3755</v>
      </c>
      <c r="AF66" s="110">
        <v>0</v>
      </c>
      <c r="AG66" s="115" t="s">
        <v>3756</v>
      </c>
      <c r="AH66" s="115" t="s">
        <v>3762</v>
      </c>
      <c r="AI66" s="113"/>
      <c r="AJ66" s="116"/>
      <c r="AK66" s="109" t="s">
        <v>4122</v>
      </c>
      <c r="AL66" s="109" t="s">
        <v>4123</v>
      </c>
      <c r="AM66" s="115" t="s">
        <v>3759</v>
      </c>
      <c r="AN66" s="115" t="s">
        <v>3761</v>
      </c>
      <c r="AO66" s="112" t="s">
        <v>4124</v>
      </c>
      <c r="AP66" s="112">
        <v>9052000</v>
      </c>
      <c r="AQ66" s="145" t="s">
        <v>4125</v>
      </c>
      <c r="AR66" s="112" t="s">
        <v>4126</v>
      </c>
      <c r="AS66" s="115" t="s">
        <v>3759</v>
      </c>
      <c r="AT66" s="115" t="s">
        <v>3761</v>
      </c>
      <c r="AU66" s="112" t="s">
        <v>4124</v>
      </c>
      <c r="AV66" s="112">
        <v>7231000</v>
      </c>
      <c r="AW66" s="145" t="s">
        <v>4127</v>
      </c>
      <c r="AX66" s="112">
        <v>0</v>
      </c>
      <c r="AY66" s="115">
        <v>0</v>
      </c>
      <c r="AZ66" s="115">
        <v>0</v>
      </c>
      <c r="BA66" s="112">
        <v>0</v>
      </c>
      <c r="BB66" s="112">
        <v>0</v>
      </c>
      <c r="BC66" s="110">
        <v>0</v>
      </c>
      <c r="BD66" s="111"/>
      <c r="BE66" s="111"/>
      <c r="BF66" s="110">
        <v>0</v>
      </c>
      <c r="BG66" s="111"/>
      <c r="BH66" s="111"/>
      <c r="BI66" s="110">
        <v>0</v>
      </c>
      <c r="BJ66" s="111"/>
      <c r="BK66" s="111"/>
      <c r="BL66" s="110">
        <v>0</v>
      </c>
      <c r="BM66" s="111"/>
      <c r="BN66" s="111"/>
      <c r="BO66" s="110">
        <v>0</v>
      </c>
      <c r="BP66" s="111"/>
      <c r="BQ66" s="111"/>
      <c r="BR66" s="110">
        <v>0</v>
      </c>
      <c r="BS66" s="111"/>
      <c r="BT66" s="111"/>
      <c r="BU66" s="110">
        <v>0</v>
      </c>
      <c r="BV66" s="111"/>
      <c r="BW66" s="111"/>
      <c r="BX66" s="110">
        <v>0</v>
      </c>
      <c r="BY66" s="111"/>
      <c r="BZ66" s="111"/>
      <c r="CA66" s="110">
        <v>0</v>
      </c>
      <c r="CB66" s="111"/>
      <c r="CC66" s="111"/>
      <c r="CD66" s="110">
        <v>0</v>
      </c>
      <c r="CE66" s="111">
        <v>0</v>
      </c>
      <c r="CF66" s="111">
        <v>0</v>
      </c>
      <c r="CG66" s="110">
        <v>0</v>
      </c>
      <c r="CH66" s="111">
        <v>0</v>
      </c>
      <c r="CI66" s="111">
        <v>0</v>
      </c>
      <c r="CJ66" s="110">
        <v>0</v>
      </c>
      <c r="CK66" s="112">
        <v>0</v>
      </c>
      <c r="CL66" s="111">
        <v>0</v>
      </c>
      <c r="CM66" s="111">
        <v>0</v>
      </c>
      <c r="CN66" s="141">
        <v>0</v>
      </c>
      <c r="CO66" s="114">
        <v>0</v>
      </c>
      <c r="CP66" s="110">
        <v>0</v>
      </c>
      <c r="CQ66" s="111">
        <v>0</v>
      </c>
      <c r="CR66" s="141">
        <v>0</v>
      </c>
      <c r="CS66" s="141">
        <v>0</v>
      </c>
      <c r="CT66" s="110">
        <v>0</v>
      </c>
      <c r="CU66" s="111">
        <v>0</v>
      </c>
      <c r="CV66" s="141">
        <v>0</v>
      </c>
      <c r="CW66" s="141">
        <v>0</v>
      </c>
      <c r="CX66" s="110">
        <v>0</v>
      </c>
      <c r="CY66" s="111">
        <v>0</v>
      </c>
      <c r="CZ66" s="110" t="s">
        <v>3755</v>
      </c>
      <c r="DA66" s="110" t="s">
        <v>3755</v>
      </c>
      <c r="DB66" s="110" t="s">
        <v>3755</v>
      </c>
      <c r="DC66" s="112">
        <v>0</v>
      </c>
      <c r="DD66" s="115" t="s">
        <v>3762</v>
      </c>
      <c r="DE66" s="109">
        <v>0</v>
      </c>
      <c r="DF66" s="144" t="s">
        <v>3716</v>
      </c>
    </row>
    <row r="67" spans="1:110" ht="35.1" customHeight="1" x14ac:dyDescent="0.2">
      <c r="A67" s="121" t="s">
        <v>1365</v>
      </c>
      <c r="B67" s="118" t="s">
        <v>1261</v>
      </c>
      <c r="C67" s="118" t="s">
        <v>1366</v>
      </c>
      <c r="D67" s="111">
        <v>765</v>
      </c>
      <c r="E67" s="111">
        <v>34606000</v>
      </c>
      <c r="F67" s="111">
        <v>765</v>
      </c>
      <c r="G67" s="111">
        <v>34606000</v>
      </c>
      <c r="H67" s="111">
        <v>223</v>
      </c>
      <c r="I67" s="111">
        <v>6516000</v>
      </c>
      <c r="J67" s="111">
        <v>0</v>
      </c>
      <c r="K67" s="111">
        <v>0</v>
      </c>
      <c r="L67" s="111">
        <v>10102149</v>
      </c>
      <c r="M67" s="111">
        <v>918379</v>
      </c>
      <c r="N67" s="111">
        <v>23141</v>
      </c>
      <c r="O67" s="111">
        <v>358872</v>
      </c>
      <c r="P67" s="111">
        <v>6268935</v>
      </c>
      <c r="Q67" s="111">
        <v>0</v>
      </c>
      <c r="R67" s="111">
        <v>17671476</v>
      </c>
      <c r="S67" s="146">
        <v>0.29191900248511821</v>
      </c>
      <c r="T67" s="146">
        <v>2.6538143674507311E-2</v>
      </c>
      <c r="U67" s="146">
        <v>6.686990695255158E-4</v>
      </c>
      <c r="V67" s="146">
        <v>1.0370224816505808E-2</v>
      </c>
      <c r="W67" s="146">
        <v>0.18115167889961278</v>
      </c>
      <c r="X67" s="146">
        <v>0</v>
      </c>
      <c r="Y67" s="146">
        <v>0.51064774894526965</v>
      </c>
      <c r="Z67" s="112">
        <v>0</v>
      </c>
      <c r="AA67" s="115" t="s">
        <v>3716</v>
      </c>
      <c r="AB67" s="115">
        <v>0</v>
      </c>
      <c r="AC67" s="110" t="s">
        <v>3716</v>
      </c>
      <c r="AD67" s="115">
        <v>0</v>
      </c>
      <c r="AE67" s="110">
        <v>0</v>
      </c>
      <c r="AF67" s="110" t="s">
        <v>3755</v>
      </c>
      <c r="AG67" s="115" t="s">
        <v>3756</v>
      </c>
      <c r="AH67" s="115" t="s">
        <v>3762</v>
      </c>
      <c r="AI67" s="113"/>
      <c r="AJ67" s="116"/>
      <c r="AK67" s="109">
        <v>0</v>
      </c>
      <c r="AL67" s="109">
        <v>0</v>
      </c>
      <c r="AM67" s="115">
        <v>0</v>
      </c>
      <c r="AN67" s="115">
        <v>0</v>
      </c>
      <c r="AO67" s="112">
        <v>0</v>
      </c>
      <c r="AP67" s="112">
        <v>0</v>
      </c>
      <c r="AQ67" s="145">
        <v>0</v>
      </c>
      <c r="AR67" s="112">
        <v>0</v>
      </c>
      <c r="AS67" s="115">
        <v>0</v>
      </c>
      <c r="AT67" s="115">
        <v>0</v>
      </c>
      <c r="AU67" s="112">
        <v>0</v>
      </c>
      <c r="AV67" s="112">
        <v>0</v>
      </c>
      <c r="AW67" s="145">
        <v>0</v>
      </c>
      <c r="AX67" s="112">
        <v>0</v>
      </c>
      <c r="AY67" s="115">
        <v>0</v>
      </c>
      <c r="AZ67" s="115">
        <v>0</v>
      </c>
      <c r="BA67" s="112">
        <v>0</v>
      </c>
      <c r="BB67" s="112">
        <v>0</v>
      </c>
      <c r="BC67" s="110">
        <v>0</v>
      </c>
      <c r="BD67" s="111"/>
      <c r="BE67" s="111"/>
      <c r="BF67" s="110">
        <v>0</v>
      </c>
      <c r="BG67" s="111"/>
      <c r="BH67" s="111"/>
      <c r="BI67" s="110">
        <v>0</v>
      </c>
      <c r="BJ67" s="111"/>
      <c r="BK67" s="111"/>
      <c r="BL67" s="110">
        <v>0</v>
      </c>
      <c r="BM67" s="111"/>
      <c r="BN67" s="111"/>
      <c r="BO67" s="110">
        <v>0</v>
      </c>
      <c r="BP67" s="111"/>
      <c r="BQ67" s="111"/>
      <c r="BR67" s="110">
        <v>0</v>
      </c>
      <c r="BS67" s="111"/>
      <c r="BT67" s="111"/>
      <c r="BU67" s="110">
        <v>0</v>
      </c>
      <c r="BV67" s="111"/>
      <c r="BW67" s="111"/>
      <c r="BX67" s="110">
        <v>0</v>
      </c>
      <c r="BY67" s="111"/>
      <c r="BZ67" s="111"/>
      <c r="CA67" s="110">
        <v>0</v>
      </c>
      <c r="CB67" s="111"/>
      <c r="CC67" s="111"/>
      <c r="CD67" s="110">
        <v>0</v>
      </c>
      <c r="CE67" s="111">
        <v>0</v>
      </c>
      <c r="CF67" s="111">
        <v>0</v>
      </c>
      <c r="CG67" s="110" t="s">
        <v>3755</v>
      </c>
      <c r="CH67" s="111">
        <v>234</v>
      </c>
      <c r="CI67" s="111">
        <v>11757000</v>
      </c>
      <c r="CJ67" s="110" t="s">
        <v>3755</v>
      </c>
      <c r="CK67" s="112" t="s">
        <v>4128</v>
      </c>
      <c r="CL67" s="111">
        <v>531</v>
      </c>
      <c r="CM67" s="111">
        <v>22849000</v>
      </c>
      <c r="CN67" s="141" t="s">
        <v>3962</v>
      </c>
      <c r="CO67" s="114" t="s">
        <v>4129</v>
      </c>
      <c r="CP67" s="110" t="s">
        <v>3764</v>
      </c>
      <c r="CQ67" s="111">
        <v>5500000</v>
      </c>
      <c r="CR67" s="141" t="s">
        <v>4130</v>
      </c>
      <c r="CS67" s="141" t="s">
        <v>4131</v>
      </c>
      <c r="CT67" s="110" t="s">
        <v>3764</v>
      </c>
      <c r="CU67" s="111">
        <v>5738000</v>
      </c>
      <c r="CV67" s="141" t="s">
        <v>4132</v>
      </c>
      <c r="CW67" s="141" t="s">
        <v>4133</v>
      </c>
      <c r="CX67" s="110" t="s">
        <v>3764</v>
      </c>
      <c r="CY67" s="111">
        <v>4000000</v>
      </c>
      <c r="CZ67" s="110" t="s">
        <v>3755</v>
      </c>
      <c r="DA67" s="110" t="s">
        <v>3755</v>
      </c>
      <c r="DB67" s="110" t="s">
        <v>3755</v>
      </c>
      <c r="DC67" s="112">
        <v>0</v>
      </c>
      <c r="DD67" s="115" t="s">
        <v>3762</v>
      </c>
      <c r="DE67" s="109">
        <v>0</v>
      </c>
      <c r="DF67" s="144" t="s">
        <v>3716</v>
      </c>
    </row>
    <row r="68" spans="1:110" ht="35.1" customHeight="1" x14ac:dyDescent="0.2">
      <c r="A68" s="121" t="s">
        <v>1367</v>
      </c>
      <c r="B68" s="118" t="s">
        <v>1261</v>
      </c>
      <c r="C68" s="118" t="s">
        <v>1368</v>
      </c>
      <c r="D68" s="111">
        <v>1498</v>
      </c>
      <c r="E68" s="111">
        <v>41149000</v>
      </c>
      <c r="F68" s="111">
        <v>1491</v>
      </c>
      <c r="G68" s="111">
        <v>35834000</v>
      </c>
      <c r="H68" s="111">
        <v>289</v>
      </c>
      <c r="I68" s="111">
        <v>8375000</v>
      </c>
      <c r="J68" s="111">
        <v>0</v>
      </c>
      <c r="K68" s="111">
        <v>0</v>
      </c>
      <c r="L68" s="111">
        <v>10156719</v>
      </c>
      <c r="M68" s="111">
        <v>1670112</v>
      </c>
      <c r="N68" s="111">
        <v>3663298</v>
      </c>
      <c r="O68" s="111">
        <v>554990</v>
      </c>
      <c r="P68" s="111">
        <v>2929710</v>
      </c>
      <c r="Q68" s="111">
        <v>0</v>
      </c>
      <c r="R68" s="111">
        <v>18974829</v>
      </c>
      <c r="S68" s="146">
        <v>0.24682784514812026</v>
      </c>
      <c r="T68" s="146">
        <v>4.0586940144353448E-2</v>
      </c>
      <c r="U68" s="146">
        <v>8.902520109844711E-2</v>
      </c>
      <c r="V68" s="146">
        <v>1.3487326544995019E-2</v>
      </c>
      <c r="W68" s="146">
        <v>7.1197598969598291E-2</v>
      </c>
      <c r="X68" s="146">
        <v>0</v>
      </c>
      <c r="Y68" s="146">
        <v>0.46112491190551413</v>
      </c>
      <c r="Z68" s="112">
        <v>0</v>
      </c>
      <c r="AA68" s="115" t="s">
        <v>3716</v>
      </c>
      <c r="AB68" s="115">
        <v>0</v>
      </c>
      <c r="AC68" s="110" t="s">
        <v>3716</v>
      </c>
      <c r="AD68" s="115">
        <v>0</v>
      </c>
      <c r="AE68" s="110">
        <v>0</v>
      </c>
      <c r="AF68" s="110" t="s">
        <v>3755</v>
      </c>
      <c r="AG68" s="115" t="s">
        <v>3756</v>
      </c>
      <c r="AH68" s="115" t="s">
        <v>3756</v>
      </c>
      <c r="AI68" s="113"/>
      <c r="AJ68" s="116"/>
      <c r="AK68" s="109">
        <v>0</v>
      </c>
      <c r="AL68" s="109">
        <v>0</v>
      </c>
      <c r="AM68" s="115">
        <v>0</v>
      </c>
      <c r="AN68" s="115">
        <v>0</v>
      </c>
      <c r="AO68" s="112">
        <v>0</v>
      </c>
      <c r="AP68" s="112">
        <v>0</v>
      </c>
      <c r="AQ68" s="145">
        <v>0</v>
      </c>
      <c r="AR68" s="112">
        <v>0</v>
      </c>
      <c r="AS68" s="115">
        <v>0</v>
      </c>
      <c r="AT68" s="115">
        <v>0</v>
      </c>
      <c r="AU68" s="112">
        <v>0</v>
      </c>
      <c r="AV68" s="112">
        <v>0</v>
      </c>
      <c r="AW68" s="145">
        <v>0</v>
      </c>
      <c r="AX68" s="112">
        <v>0</v>
      </c>
      <c r="AY68" s="115">
        <v>0</v>
      </c>
      <c r="AZ68" s="115">
        <v>0</v>
      </c>
      <c r="BA68" s="112">
        <v>0</v>
      </c>
      <c r="BB68" s="112">
        <v>0</v>
      </c>
      <c r="BC68" s="110">
        <v>0</v>
      </c>
      <c r="BD68" s="111"/>
      <c r="BE68" s="111"/>
      <c r="BF68" s="110">
        <v>0</v>
      </c>
      <c r="BG68" s="111"/>
      <c r="BH68" s="111"/>
      <c r="BI68" s="110" t="s">
        <v>3755</v>
      </c>
      <c r="BJ68" s="111">
        <v>250</v>
      </c>
      <c r="BK68" s="111">
        <v>6607000</v>
      </c>
      <c r="BL68" s="110">
        <v>0</v>
      </c>
      <c r="BM68" s="111"/>
      <c r="BN68" s="111"/>
      <c r="BO68" s="110" t="s">
        <v>3755</v>
      </c>
      <c r="BP68" s="111">
        <v>277</v>
      </c>
      <c r="BQ68" s="111">
        <v>5307500</v>
      </c>
      <c r="BR68" s="110">
        <v>0</v>
      </c>
      <c r="BS68" s="111"/>
      <c r="BT68" s="111"/>
      <c r="BU68" s="110" t="s">
        <v>3755</v>
      </c>
      <c r="BV68" s="111">
        <v>367</v>
      </c>
      <c r="BW68" s="111">
        <v>10965000</v>
      </c>
      <c r="BX68" s="110">
        <v>0</v>
      </c>
      <c r="BY68" s="111"/>
      <c r="BZ68" s="111"/>
      <c r="CA68" s="110">
        <v>0</v>
      </c>
      <c r="CB68" s="111"/>
      <c r="CC68" s="111"/>
      <c r="CD68" s="110">
        <v>0</v>
      </c>
      <c r="CE68" s="111">
        <v>0</v>
      </c>
      <c r="CF68" s="111">
        <v>0</v>
      </c>
      <c r="CG68" s="110" t="s">
        <v>3755</v>
      </c>
      <c r="CH68" s="111">
        <v>607</v>
      </c>
      <c r="CI68" s="111">
        <v>18661189</v>
      </c>
      <c r="CJ68" s="110">
        <v>0</v>
      </c>
      <c r="CK68" s="112">
        <v>0</v>
      </c>
      <c r="CL68" s="111">
        <v>0</v>
      </c>
      <c r="CM68" s="111">
        <v>0</v>
      </c>
      <c r="CN68" s="141" t="s">
        <v>4134</v>
      </c>
      <c r="CO68" s="114" t="s">
        <v>4135</v>
      </c>
      <c r="CP68" s="110" t="s">
        <v>3760</v>
      </c>
      <c r="CQ68" s="111">
        <v>3538000</v>
      </c>
      <c r="CR68" s="141" t="s">
        <v>4136</v>
      </c>
      <c r="CS68" s="141" t="s">
        <v>4137</v>
      </c>
      <c r="CT68" s="110" t="s">
        <v>3767</v>
      </c>
      <c r="CU68" s="111">
        <v>1970000</v>
      </c>
      <c r="CV68" s="141" t="s">
        <v>4138</v>
      </c>
      <c r="CW68" s="141" t="s">
        <v>4139</v>
      </c>
      <c r="CX68" s="110" t="s">
        <v>3767</v>
      </c>
      <c r="CY68" s="111">
        <v>932000</v>
      </c>
      <c r="CZ68" s="110" t="s">
        <v>3755</v>
      </c>
      <c r="DA68" s="110" t="s">
        <v>3755</v>
      </c>
      <c r="DB68" s="110" t="s">
        <v>3755</v>
      </c>
      <c r="DC68" s="112">
        <v>0</v>
      </c>
      <c r="DD68" s="115" t="s">
        <v>3762</v>
      </c>
      <c r="DE68" s="109">
        <v>0</v>
      </c>
      <c r="DF68" s="144" t="s">
        <v>3716</v>
      </c>
    </row>
  </sheetData>
  <mergeCells count="60">
    <mergeCell ref="L8:Z8"/>
    <mergeCell ref="CZ8:DE8"/>
    <mergeCell ref="A8:A13"/>
    <mergeCell ref="B8:B13"/>
    <mergeCell ref="C8:C13"/>
    <mergeCell ref="D8:K8"/>
    <mergeCell ref="L12:L13"/>
    <mergeCell ref="M12:M13"/>
    <mergeCell ref="N12:N13"/>
    <mergeCell ref="D9:K11"/>
    <mergeCell ref="L9:R11"/>
    <mergeCell ref="S9:Y11"/>
    <mergeCell ref="Z9:Z13"/>
    <mergeCell ref="AA8:AB8"/>
    <mergeCell ref="BC9:CM12"/>
    <mergeCell ref="BR13:BT13"/>
    <mergeCell ref="DF9:DF13"/>
    <mergeCell ref="D12:E12"/>
    <mergeCell ref="F12:G12"/>
    <mergeCell ref="H12:I12"/>
    <mergeCell ref="J12:K12"/>
    <mergeCell ref="CR9:CU12"/>
    <mergeCell ref="CV9:CY12"/>
    <mergeCell ref="CZ9:DB12"/>
    <mergeCell ref="DC9:DC13"/>
    <mergeCell ref="DD9:DD13"/>
    <mergeCell ref="DE9:DE13"/>
    <mergeCell ref="AG9:AJ12"/>
    <mergeCell ref="AK9:AP12"/>
    <mergeCell ref="AQ9:AV12"/>
    <mergeCell ref="CJ13:CM13"/>
    <mergeCell ref="AW9:BB12"/>
    <mergeCell ref="O12:O13"/>
    <mergeCell ref="P12:P13"/>
    <mergeCell ref="Q12:Q13"/>
    <mergeCell ref="R12:R13"/>
    <mergeCell ref="S12:S13"/>
    <mergeCell ref="T12:T13"/>
    <mergeCell ref="AA9:AA13"/>
    <mergeCell ref="AB9:AB13"/>
    <mergeCell ref="U12:U13"/>
    <mergeCell ref="V12:V13"/>
    <mergeCell ref="W12:W13"/>
    <mergeCell ref="X12:X13"/>
    <mergeCell ref="Y12:Y13"/>
    <mergeCell ref="CN9:CQ12"/>
    <mergeCell ref="AC8:CY8"/>
    <mergeCell ref="BC13:BE13"/>
    <mergeCell ref="BF13:BH13"/>
    <mergeCell ref="BI13:BK13"/>
    <mergeCell ref="BL13:BN13"/>
    <mergeCell ref="BO13:BQ13"/>
    <mergeCell ref="CD13:CF13"/>
    <mergeCell ref="CG13:CI13"/>
    <mergeCell ref="BU13:BW13"/>
    <mergeCell ref="BX13:BZ13"/>
    <mergeCell ref="CA13:CC13"/>
    <mergeCell ref="AC9:AC13"/>
    <mergeCell ref="AD9:AD13"/>
    <mergeCell ref="AE9:AF12"/>
  </mergeCells>
  <phoneticPr fontId="12"/>
  <conditionalFormatting sqref="A1:A1048576">
    <cfRule type="duplicateValues" dxfId="0" priority="1"/>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1789"/>
  <sheetViews>
    <sheetView workbookViewId="0">
      <selection sqref="A1:XFD1"/>
    </sheetView>
  </sheetViews>
  <sheetFormatPr defaultRowHeight="13.5" x14ac:dyDescent="0.1"/>
  <sheetData>
    <row r="1" spans="1:3" ht="33.75" x14ac:dyDescent="0.1">
      <c r="A1" s="3" t="s">
        <v>3630</v>
      </c>
      <c r="B1" s="4" t="s">
        <v>3631</v>
      </c>
      <c r="C1" s="4" t="s">
        <v>3632</v>
      </c>
    </row>
    <row r="2" spans="1:3" x14ac:dyDescent="0.1">
      <c r="A2" s="5" t="s">
        <v>100</v>
      </c>
      <c r="B2" s="5" t="s">
        <v>101</v>
      </c>
      <c r="C2" s="2"/>
    </row>
    <row r="3" spans="1:3" x14ac:dyDescent="0.1">
      <c r="A3" s="1" t="s">
        <v>102</v>
      </c>
      <c r="B3" s="1" t="s">
        <v>101</v>
      </c>
      <c r="C3" s="1" t="s">
        <v>103</v>
      </c>
    </row>
    <row r="4" spans="1:3" x14ac:dyDescent="0.1">
      <c r="A4" s="1" t="s">
        <v>104</v>
      </c>
      <c r="B4" s="1" t="s">
        <v>101</v>
      </c>
      <c r="C4" s="1" t="s">
        <v>105</v>
      </c>
    </row>
    <row r="5" spans="1:3" x14ac:dyDescent="0.1">
      <c r="A5" s="1" t="s">
        <v>106</v>
      </c>
      <c r="B5" s="1" t="s">
        <v>101</v>
      </c>
      <c r="C5" s="1" t="s">
        <v>107</v>
      </c>
    </row>
    <row r="6" spans="1:3" x14ac:dyDescent="0.1">
      <c r="A6" s="1" t="s">
        <v>108</v>
      </c>
      <c r="B6" s="1" t="s">
        <v>101</v>
      </c>
      <c r="C6" s="1" t="s">
        <v>109</v>
      </c>
    </row>
    <row r="7" spans="1:3" x14ac:dyDescent="0.1">
      <c r="A7" s="1" t="s">
        <v>110</v>
      </c>
      <c r="B7" s="1" t="s">
        <v>101</v>
      </c>
      <c r="C7" s="1" t="s">
        <v>111</v>
      </c>
    </row>
    <row r="8" spans="1:3" x14ac:dyDescent="0.1">
      <c r="A8" s="1" t="s">
        <v>112</v>
      </c>
      <c r="B8" s="1" t="s">
        <v>101</v>
      </c>
      <c r="C8" s="1" t="s">
        <v>113</v>
      </c>
    </row>
    <row r="9" spans="1:3" x14ac:dyDescent="0.1">
      <c r="A9" s="1" t="s">
        <v>114</v>
      </c>
      <c r="B9" s="1" t="s">
        <v>101</v>
      </c>
      <c r="C9" s="1" t="s">
        <v>115</v>
      </c>
    </row>
    <row r="10" spans="1:3" x14ac:dyDescent="0.1">
      <c r="A10" s="1" t="s">
        <v>116</v>
      </c>
      <c r="B10" s="1" t="s">
        <v>101</v>
      </c>
      <c r="C10" s="1" t="s">
        <v>117</v>
      </c>
    </row>
    <row r="11" spans="1:3" x14ac:dyDescent="0.1">
      <c r="A11" s="1" t="s">
        <v>118</v>
      </c>
      <c r="B11" s="1" t="s">
        <v>101</v>
      </c>
      <c r="C11" s="1" t="s">
        <v>119</v>
      </c>
    </row>
    <row r="12" spans="1:3" x14ac:dyDescent="0.1">
      <c r="A12" s="1" t="s">
        <v>120</v>
      </c>
      <c r="B12" s="1" t="s">
        <v>101</v>
      </c>
      <c r="C12" s="1" t="s">
        <v>121</v>
      </c>
    </row>
    <row r="13" spans="1:3" x14ac:dyDescent="0.1">
      <c r="A13" s="1" t="s">
        <v>122</v>
      </c>
      <c r="B13" s="1" t="s">
        <v>101</v>
      </c>
      <c r="C13" s="1" t="s">
        <v>123</v>
      </c>
    </row>
    <row r="14" spans="1:3" x14ac:dyDescent="0.1">
      <c r="A14" s="1" t="s">
        <v>124</v>
      </c>
      <c r="B14" s="1" t="s">
        <v>101</v>
      </c>
      <c r="C14" s="1" t="s">
        <v>125</v>
      </c>
    </row>
    <row r="15" spans="1:3" x14ac:dyDescent="0.1">
      <c r="A15" s="1" t="s">
        <v>126</v>
      </c>
      <c r="B15" s="1" t="s">
        <v>101</v>
      </c>
      <c r="C15" s="1" t="s">
        <v>127</v>
      </c>
    </row>
    <row r="16" spans="1:3" x14ac:dyDescent="0.1">
      <c r="A16" s="1" t="s">
        <v>128</v>
      </c>
      <c r="B16" s="1" t="s">
        <v>101</v>
      </c>
      <c r="C16" s="1" t="s">
        <v>129</v>
      </c>
    </row>
    <row r="17" spans="1:3" x14ac:dyDescent="0.1">
      <c r="A17" s="1" t="s">
        <v>130</v>
      </c>
      <c r="B17" s="1" t="s">
        <v>101</v>
      </c>
      <c r="C17" s="1" t="s">
        <v>131</v>
      </c>
    </row>
    <row r="18" spans="1:3" x14ac:dyDescent="0.1">
      <c r="A18" s="1" t="s">
        <v>132</v>
      </c>
      <c r="B18" s="1" t="s">
        <v>101</v>
      </c>
      <c r="C18" s="1" t="s">
        <v>133</v>
      </c>
    </row>
    <row r="19" spans="1:3" x14ac:dyDescent="0.1">
      <c r="A19" s="1" t="s">
        <v>134</v>
      </c>
      <c r="B19" s="1" t="s">
        <v>101</v>
      </c>
      <c r="C19" s="1" t="s">
        <v>135</v>
      </c>
    </row>
    <row r="20" spans="1:3" x14ac:dyDescent="0.1">
      <c r="A20" s="1" t="s">
        <v>136</v>
      </c>
      <c r="B20" s="1" t="s">
        <v>101</v>
      </c>
      <c r="C20" s="1" t="s">
        <v>137</v>
      </c>
    </row>
    <row r="21" spans="1:3" x14ac:dyDescent="0.1">
      <c r="A21" s="1" t="s">
        <v>138</v>
      </c>
      <c r="B21" s="1" t="s">
        <v>101</v>
      </c>
      <c r="C21" s="1" t="s">
        <v>139</v>
      </c>
    </row>
    <row r="22" spans="1:3" x14ac:dyDescent="0.1">
      <c r="A22" s="1" t="s">
        <v>140</v>
      </c>
      <c r="B22" s="1" t="s">
        <v>101</v>
      </c>
      <c r="C22" s="1" t="s">
        <v>141</v>
      </c>
    </row>
    <row r="23" spans="1:3" x14ac:dyDescent="0.1">
      <c r="A23" s="1" t="s">
        <v>142</v>
      </c>
      <c r="B23" s="1" t="s">
        <v>101</v>
      </c>
      <c r="C23" s="1" t="s">
        <v>143</v>
      </c>
    </row>
    <row r="24" spans="1:3" x14ac:dyDescent="0.1">
      <c r="A24" s="1" t="s">
        <v>144</v>
      </c>
      <c r="B24" s="1" t="s">
        <v>101</v>
      </c>
      <c r="C24" s="1" t="s">
        <v>145</v>
      </c>
    </row>
    <row r="25" spans="1:3" x14ac:dyDescent="0.1">
      <c r="A25" s="1" t="s">
        <v>146</v>
      </c>
      <c r="B25" s="1" t="s">
        <v>101</v>
      </c>
      <c r="C25" s="1" t="s">
        <v>147</v>
      </c>
    </row>
    <row r="26" spans="1:3" x14ac:dyDescent="0.1">
      <c r="A26" s="1" t="s">
        <v>148</v>
      </c>
      <c r="B26" s="1" t="s">
        <v>101</v>
      </c>
      <c r="C26" s="1" t="s">
        <v>149</v>
      </c>
    </row>
    <row r="27" spans="1:3" x14ac:dyDescent="0.1">
      <c r="A27" s="1" t="s">
        <v>150</v>
      </c>
      <c r="B27" s="1" t="s">
        <v>101</v>
      </c>
      <c r="C27" s="1" t="s">
        <v>151</v>
      </c>
    </row>
    <row r="28" spans="1:3" x14ac:dyDescent="0.1">
      <c r="A28" s="1" t="s">
        <v>152</v>
      </c>
      <c r="B28" s="1" t="s">
        <v>101</v>
      </c>
      <c r="C28" s="1" t="s">
        <v>153</v>
      </c>
    </row>
    <row r="29" spans="1:3" x14ac:dyDescent="0.1">
      <c r="A29" s="1" t="s">
        <v>154</v>
      </c>
      <c r="B29" s="1" t="s">
        <v>101</v>
      </c>
      <c r="C29" s="1" t="s">
        <v>155</v>
      </c>
    </row>
    <row r="30" spans="1:3" x14ac:dyDescent="0.1">
      <c r="A30" s="1" t="s">
        <v>156</v>
      </c>
      <c r="B30" s="1" t="s">
        <v>101</v>
      </c>
      <c r="C30" s="1" t="s">
        <v>157</v>
      </c>
    </row>
    <row r="31" spans="1:3" x14ac:dyDescent="0.1">
      <c r="A31" s="1" t="s">
        <v>158</v>
      </c>
      <c r="B31" s="1" t="s">
        <v>101</v>
      </c>
      <c r="C31" s="1" t="s">
        <v>159</v>
      </c>
    </row>
    <row r="32" spans="1:3" x14ac:dyDescent="0.1">
      <c r="A32" s="1" t="s">
        <v>160</v>
      </c>
      <c r="B32" s="1" t="s">
        <v>101</v>
      </c>
      <c r="C32" s="1" t="s">
        <v>161</v>
      </c>
    </row>
    <row r="33" spans="1:3" x14ac:dyDescent="0.1">
      <c r="A33" s="1" t="s">
        <v>162</v>
      </c>
      <c r="B33" s="1" t="s">
        <v>101</v>
      </c>
      <c r="C33" s="1" t="s">
        <v>163</v>
      </c>
    </row>
    <row r="34" spans="1:3" x14ac:dyDescent="0.1">
      <c r="A34" s="1" t="s">
        <v>164</v>
      </c>
      <c r="B34" s="1" t="s">
        <v>101</v>
      </c>
      <c r="C34" s="1" t="s">
        <v>165</v>
      </c>
    </row>
    <row r="35" spans="1:3" x14ac:dyDescent="0.1">
      <c r="A35" s="1" t="s">
        <v>166</v>
      </c>
      <c r="B35" s="1" t="s">
        <v>101</v>
      </c>
      <c r="C35" s="1" t="s">
        <v>167</v>
      </c>
    </row>
    <row r="36" spans="1:3" x14ac:dyDescent="0.1">
      <c r="A36" s="1" t="s">
        <v>168</v>
      </c>
      <c r="B36" s="1" t="s">
        <v>101</v>
      </c>
      <c r="C36" s="1" t="s">
        <v>169</v>
      </c>
    </row>
    <row r="37" spans="1:3" x14ac:dyDescent="0.1">
      <c r="A37" s="1" t="s">
        <v>170</v>
      </c>
      <c r="B37" s="1" t="s">
        <v>101</v>
      </c>
      <c r="C37" s="1" t="s">
        <v>171</v>
      </c>
    </row>
    <row r="38" spans="1:3" x14ac:dyDescent="0.1">
      <c r="A38" s="1" t="s">
        <v>172</v>
      </c>
      <c r="B38" s="1" t="s">
        <v>101</v>
      </c>
      <c r="C38" s="1" t="s">
        <v>173</v>
      </c>
    </row>
    <row r="39" spans="1:3" x14ac:dyDescent="0.1">
      <c r="A39" s="1" t="s">
        <v>174</v>
      </c>
      <c r="B39" s="1" t="s">
        <v>101</v>
      </c>
      <c r="C39" s="1" t="s">
        <v>175</v>
      </c>
    </row>
    <row r="40" spans="1:3" x14ac:dyDescent="0.1">
      <c r="A40" s="1" t="s">
        <v>176</v>
      </c>
      <c r="B40" s="1" t="s">
        <v>101</v>
      </c>
      <c r="C40" s="1" t="s">
        <v>177</v>
      </c>
    </row>
    <row r="41" spans="1:3" x14ac:dyDescent="0.1">
      <c r="A41" s="1" t="s">
        <v>178</v>
      </c>
      <c r="B41" s="1" t="s">
        <v>101</v>
      </c>
      <c r="C41" s="1" t="s">
        <v>179</v>
      </c>
    </row>
    <row r="42" spans="1:3" x14ac:dyDescent="0.1">
      <c r="A42" s="1" t="s">
        <v>180</v>
      </c>
      <c r="B42" s="1" t="s">
        <v>101</v>
      </c>
      <c r="C42" s="1" t="s">
        <v>181</v>
      </c>
    </row>
    <row r="43" spans="1:3" x14ac:dyDescent="0.1">
      <c r="A43" s="1" t="s">
        <v>182</v>
      </c>
      <c r="B43" s="1" t="s">
        <v>101</v>
      </c>
      <c r="C43" s="1" t="s">
        <v>183</v>
      </c>
    </row>
    <row r="44" spans="1:3" x14ac:dyDescent="0.1">
      <c r="A44" s="1" t="s">
        <v>184</v>
      </c>
      <c r="B44" s="1" t="s">
        <v>101</v>
      </c>
      <c r="C44" s="1" t="s">
        <v>185</v>
      </c>
    </row>
    <row r="45" spans="1:3" x14ac:dyDescent="0.1">
      <c r="A45" s="1" t="s">
        <v>186</v>
      </c>
      <c r="B45" s="1" t="s">
        <v>101</v>
      </c>
      <c r="C45" s="1" t="s">
        <v>187</v>
      </c>
    </row>
    <row r="46" spans="1:3" x14ac:dyDescent="0.1">
      <c r="A46" s="1" t="s">
        <v>188</v>
      </c>
      <c r="B46" s="1" t="s">
        <v>101</v>
      </c>
      <c r="C46" s="1" t="s">
        <v>189</v>
      </c>
    </row>
    <row r="47" spans="1:3" x14ac:dyDescent="0.1">
      <c r="A47" s="1" t="s">
        <v>190</v>
      </c>
      <c r="B47" s="1" t="s">
        <v>101</v>
      </c>
      <c r="C47" s="1" t="s">
        <v>191</v>
      </c>
    </row>
    <row r="48" spans="1:3" x14ac:dyDescent="0.1">
      <c r="A48" s="1" t="s">
        <v>192</v>
      </c>
      <c r="B48" s="1" t="s">
        <v>101</v>
      </c>
      <c r="C48" s="1" t="s">
        <v>3633</v>
      </c>
    </row>
    <row r="49" spans="1:3" x14ac:dyDescent="0.1">
      <c r="A49" s="1" t="s">
        <v>193</v>
      </c>
      <c r="B49" s="1" t="s">
        <v>101</v>
      </c>
      <c r="C49" s="1" t="s">
        <v>194</v>
      </c>
    </row>
    <row r="50" spans="1:3" x14ac:dyDescent="0.1">
      <c r="A50" s="1" t="s">
        <v>195</v>
      </c>
      <c r="B50" s="1" t="s">
        <v>101</v>
      </c>
      <c r="C50" s="1" t="s">
        <v>196</v>
      </c>
    </row>
    <row r="51" spans="1:3" x14ac:dyDescent="0.1">
      <c r="A51" s="1" t="s">
        <v>197</v>
      </c>
      <c r="B51" s="1" t="s">
        <v>101</v>
      </c>
      <c r="C51" s="1" t="s">
        <v>198</v>
      </c>
    </row>
    <row r="52" spans="1:3" x14ac:dyDescent="0.1">
      <c r="A52" s="1" t="s">
        <v>199</v>
      </c>
      <c r="B52" s="1" t="s">
        <v>101</v>
      </c>
      <c r="C52" s="1" t="s">
        <v>200</v>
      </c>
    </row>
    <row r="53" spans="1:3" x14ac:dyDescent="0.1">
      <c r="A53" s="1" t="s">
        <v>201</v>
      </c>
      <c r="B53" s="1" t="s">
        <v>101</v>
      </c>
      <c r="C53" s="1" t="s">
        <v>202</v>
      </c>
    </row>
    <row r="54" spans="1:3" x14ac:dyDescent="0.1">
      <c r="A54" s="1" t="s">
        <v>203</v>
      </c>
      <c r="B54" s="1" t="s">
        <v>101</v>
      </c>
      <c r="C54" s="1" t="s">
        <v>204</v>
      </c>
    </row>
    <row r="55" spans="1:3" x14ac:dyDescent="0.1">
      <c r="A55" s="1" t="s">
        <v>205</v>
      </c>
      <c r="B55" s="1" t="s">
        <v>101</v>
      </c>
      <c r="C55" s="1" t="s">
        <v>206</v>
      </c>
    </row>
    <row r="56" spans="1:3" x14ac:dyDescent="0.1">
      <c r="A56" s="1" t="s">
        <v>207</v>
      </c>
      <c r="B56" s="1" t="s">
        <v>101</v>
      </c>
      <c r="C56" s="1" t="s">
        <v>208</v>
      </c>
    </row>
    <row r="57" spans="1:3" x14ac:dyDescent="0.1">
      <c r="A57" s="1" t="s">
        <v>209</v>
      </c>
      <c r="B57" s="1" t="s">
        <v>101</v>
      </c>
      <c r="C57" s="1" t="s">
        <v>210</v>
      </c>
    </row>
    <row r="58" spans="1:3" x14ac:dyDescent="0.1">
      <c r="A58" s="1" t="s">
        <v>211</v>
      </c>
      <c r="B58" s="1" t="s">
        <v>101</v>
      </c>
      <c r="C58" s="1" t="s">
        <v>212</v>
      </c>
    </row>
    <row r="59" spans="1:3" x14ac:dyDescent="0.1">
      <c r="A59" s="1" t="s">
        <v>213</v>
      </c>
      <c r="B59" s="1" t="s">
        <v>101</v>
      </c>
      <c r="C59" s="1" t="s">
        <v>214</v>
      </c>
    </row>
    <row r="60" spans="1:3" x14ac:dyDescent="0.1">
      <c r="A60" s="1" t="s">
        <v>215</v>
      </c>
      <c r="B60" s="1" t="s">
        <v>101</v>
      </c>
      <c r="C60" s="1" t="s">
        <v>216</v>
      </c>
    </row>
    <row r="61" spans="1:3" x14ac:dyDescent="0.1">
      <c r="A61" s="1" t="s">
        <v>217</v>
      </c>
      <c r="B61" s="1" t="s">
        <v>101</v>
      </c>
      <c r="C61" s="1" t="s">
        <v>218</v>
      </c>
    </row>
    <row r="62" spans="1:3" x14ac:dyDescent="0.1">
      <c r="A62" s="1" t="s">
        <v>219</v>
      </c>
      <c r="B62" s="1" t="s">
        <v>101</v>
      </c>
      <c r="C62" s="1" t="s">
        <v>220</v>
      </c>
    </row>
    <row r="63" spans="1:3" x14ac:dyDescent="0.1">
      <c r="A63" s="1" t="s">
        <v>221</v>
      </c>
      <c r="B63" s="1" t="s">
        <v>101</v>
      </c>
      <c r="C63" s="1" t="s">
        <v>222</v>
      </c>
    </row>
    <row r="64" spans="1:3" x14ac:dyDescent="0.1">
      <c r="A64" s="1" t="s">
        <v>223</v>
      </c>
      <c r="B64" s="1" t="s">
        <v>101</v>
      </c>
      <c r="C64" s="1" t="s">
        <v>224</v>
      </c>
    </row>
    <row r="65" spans="1:3" x14ac:dyDescent="0.1">
      <c r="A65" s="1" t="s">
        <v>225</v>
      </c>
      <c r="B65" s="1" t="s">
        <v>101</v>
      </c>
      <c r="C65" s="1" t="s">
        <v>226</v>
      </c>
    </row>
    <row r="66" spans="1:3" x14ac:dyDescent="0.1">
      <c r="A66" s="1" t="s">
        <v>227</v>
      </c>
      <c r="B66" s="1" t="s">
        <v>101</v>
      </c>
      <c r="C66" s="1" t="s">
        <v>228</v>
      </c>
    </row>
    <row r="67" spans="1:3" x14ac:dyDescent="0.1">
      <c r="A67" s="1" t="s">
        <v>229</v>
      </c>
      <c r="B67" s="1" t="s">
        <v>101</v>
      </c>
      <c r="C67" s="1" t="s">
        <v>230</v>
      </c>
    </row>
    <row r="68" spans="1:3" x14ac:dyDescent="0.1">
      <c r="A68" s="1" t="s">
        <v>231</v>
      </c>
      <c r="B68" s="1" t="s">
        <v>101</v>
      </c>
      <c r="C68" s="1" t="s">
        <v>232</v>
      </c>
    </row>
    <row r="69" spans="1:3" x14ac:dyDescent="0.1">
      <c r="A69" s="1" t="s">
        <v>233</v>
      </c>
      <c r="B69" s="1" t="s">
        <v>101</v>
      </c>
      <c r="C69" s="1" t="s">
        <v>234</v>
      </c>
    </row>
    <row r="70" spans="1:3" x14ac:dyDescent="0.1">
      <c r="A70" s="1" t="s">
        <v>235</v>
      </c>
      <c r="B70" s="1" t="s">
        <v>101</v>
      </c>
      <c r="C70" s="1" t="s">
        <v>236</v>
      </c>
    </row>
    <row r="71" spans="1:3" x14ac:dyDescent="0.1">
      <c r="A71" s="1" t="s">
        <v>237</v>
      </c>
      <c r="B71" s="1" t="s">
        <v>101</v>
      </c>
      <c r="C71" s="1" t="s">
        <v>238</v>
      </c>
    </row>
    <row r="72" spans="1:3" x14ac:dyDescent="0.1">
      <c r="A72" s="1" t="s">
        <v>239</v>
      </c>
      <c r="B72" s="1" t="s">
        <v>101</v>
      </c>
      <c r="C72" s="1" t="s">
        <v>240</v>
      </c>
    </row>
    <row r="73" spans="1:3" x14ac:dyDescent="0.1">
      <c r="A73" s="1" t="s">
        <v>241</v>
      </c>
      <c r="B73" s="1" t="s">
        <v>101</v>
      </c>
      <c r="C73" s="1" t="s">
        <v>242</v>
      </c>
    </row>
    <row r="74" spans="1:3" x14ac:dyDescent="0.1">
      <c r="A74" s="1" t="s">
        <v>243</v>
      </c>
      <c r="B74" s="1" t="s">
        <v>101</v>
      </c>
      <c r="C74" s="1" t="s">
        <v>244</v>
      </c>
    </row>
    <row r="75" spans="1:3" x14ac:dyDescent="0.1">
      <c r="A75" s="1" t="s">
        <v>245</v>
      </c>
      <c r="B75" s="1" t="s">
        <v>101</v>
      </c>
      <c r="C75" s="1" t="s">
        <v>246</v>
      </c>
    </row>
    <row r="76" spans="1:3" x14ac:dyDescent="0.1">
      <c r="A76" s="1" t="s">
        <v>247</v>
      </c>
      <c r="B76" s="1" t="s">
        <v>101</v>
      </c>
      <c r="C76" s="1" t="s">
        <v>248</v>
      </c>
    </row>
    <row r="77" spans="1:3" x14ac:dyDescent="0.1">
      <c r="A77" s="1" t="s">
        <v>249</v>
      </c>
      <c r="B77" s="1" t="s">
        <v>101</v>
      </c>
      <c r="C77" s="1" t="s">
        <v>250</v>
      </c>
    </row>
    <row r="78" spans="1:3" x14ac:dyDescent="0.1">
      <c r="A78" s="1" t="s">
        <v>251</v>
      </c>
      <c r="B78" s="1" t="s">
        <v>101</v>
      </c>
      <c r="C78" s="1" t="s">
        <v>252</v>
      </c>
    </row>
    <row r="79" spans="1:3" x14ac:dyDescent="0.1">
      <c r="A79" s="1" t="s">
        <v>253</v>
      </c>
      <c r="B79" s="1" t="s">
        <v>101</v>
      </c>
      <c r="C79" s="1" t="s">
        <v>254</v>
      </c>
    </row>
    <row r="80" spans="1:3" x14ac:dyDescent="0.1">
      <c r="A80" s="1" t="s">
        <v>255</v>
      </c>
      <c r="B80" s="1" t="s">
        <v>101</v>
      </c>
      <c r="C80" s="1" t="s">
        <v>256</v>
      </c>
    </row>
    <row r="81" spans="1:3" x14ac:dyDescent="0.1">
      <c r="A81" s="1" t="s">
        <v>257</v>
      </c>
      <c r="B81" s="1" t="s">
        <v>101</v>
      </c>
      <c r="C81" s="1" t="s">
        <v>258</v>
      </c>
    </row>
    <row r="82" spans="1:3" x14ac:dyDescent="0.1">
      <c r="A82" s="1" t="s">
        <v>259</v>
      </c>
      <c r="B82" s="1" t="s">
        <v>101</v>
      </c>
      <c r="C82" s="1" t="s">
        <v>260</v>
      </c>
    </row>
    <row r="83" spans="1:3" x14ac:dyDescent="0.1">
      <c r="A83" s="1" t="s">
        <v>261</v>
      </c>
      <c r="B83" s="1" t="s">
        <v>101</v>
      </c>
      <c r="C83" s="1" t="s">
        <v>262</v>
      </c>
    </row>
    <row r="84" spans="1:3" x14ac:dyDescent="0.1">
      <c r="A84" s="1" t="s">
        <v>263</v>
      </c>
      <c r="B84" s="1" t="s">
        <v>101</v>
      </c>
      <c r="C84" s="1" t="s">
        <v>264</v>
      </c>
    </row>
    <row r="85" spans="1:3" x14ac:dyDescent="0.1">
      <c r="A85" s="1" t="s">
        <v>265</v>
      </c>
      <c r="B85" s="1" t="s">
        <v>101</v>
      </c>
      <c r="C85" s="1" t="s">
        <v>266</v>
      </c>
    </row>
    <row r="86" spans="1:3" x14ac:dyDescent="0.1">
      <c r="A86" s="1" t="s">
        <v>267</v>
      </c>
      <c r="B86" s="1" t="s">
        <v>101</v>
      </c>
      <c r="C86" s="1" t="s">
        <v>268</v>
      </c>
    </row>
    <row r="87" spans="1:3" x14ac:dyDescent="0.1">
      <c r="A87" s="1" t="s">
        <v>269</v>
      </c>
      <c r="B87" s="1" t="s">
        <v>101</v>
      </c>
      <c r="C87" s="1" t="s">
        <v>270</v>
      </c>
    </row>
    <row r="88" spans="1:3" x14ac:dyDescent="0.1">
      <c r="A88" s="1" t="s">
        <v>271</v>
      </c>
      <c r="B88" s="1" t="s">
        <v>101</v>
      </c>
      <c r="C88" s="1" t="s">
        <v>272</v>
      </c>
    </row>
    <row r="89" spans="1:3" x14ac:dyDescent="0.1">
      <c r="A89" s="1" t="s">
        <v>273</v>
      </c>
      <c r="B89" s="1" t="s">
        <v>101</v>
      </c>
      <c r="C89" s="1" t="s">
        <v>274</v>
      </c>
    </row>
    <row r="90" spans="1:3" x14ac:dyDescent="0.1">
      <c r="A90" s="1" t="s">
        <v>275</v>
      </c>
      <c r="B90" s="1" t="s">
        <v>101</v>
      </c>
      <c r="C90" s="1" t="s">
        <v>276</v>
      </c>
    </row>
    <row r="91" spans="1:3" x14ac:dyDescent="0.1">
      <c r="A91" s="1" t="s">
        <v>277</v>
      </c>
      <c r="B91" s="1" t="s">
        <v>101</v>
      </c>
      <c r="C91" s="1" t="s">
        <v>278</v>
      </c>
    </row>
    <row r="92" spans="1:3" x14ac:dyDescent="0.1">
      <c r="A92" s="1" t="s">
        <v>279</v>
      </c>
      <c r="B92" s="1" t="s">
        <v>101</v>
      </c>
      <c r="C92" s="1" t="s">
        <v>280</v>
      </c>
    </row>
    <row r="93" spans="1:3" x14ac:dyDescent="0.1">
      <c r="A93" s="1" t="s">
        <v>281</v>
      </c>
      <c r="B93" s="1" t="s">
        <v>101</v>
      </c>
      <c r="C93" s="1" t="s">
        <v>282</v>
      </c>
    </row>
    <row r="94" spans="1:3" x14ac:dyDescent="0.1">
      <c r="A94" s="1" t="s">
        <v>283</v>
      </c>
      <c r="B94" s="1" t="s">
        <v>101</v>
      </c>
      <c r="C94" s="1" t="s">
        <v>284</v>
      </c>
    </row>
    <row r="95" spans="1:3" x14ac:dyDescent="0.1">
      <c r="A95" s="1" t="s">
        <v>285</v>
      </c>
      <c r="B95" s="1" t="s">
        <v>101</v>
      </c>
      <c r="C95" s="1" t="s">
        <v>286</v>
      </c>
    </row>
    <row r="96" spans="1:3" x14ac:dyDescent="0.1">
      <c r="A96" s="1" t="s">
        <v>287</v>
      </c>
      <c r="B96" s="1" t="s">
        <v>101</v>
      </c>
      <c r="C96" s="1" t="s">
        <v>288</v>
      </c>
    </row>
    <row r="97" spans="1:3" x14ac:dyDescent="0.1">
      <c r="A97" s="1" t="s">
        <v>289</v>
      </c>
      <c r="B97" s="1" t="s">
        <v>101</v>
      </c>
      <c r="C97" s="1" t="s">
        <v>290</v>
      </c>
    </row>
    <row r="98" spans="1:3" x14ac:dyDescent="0.1">
      <c r="A98" s="1" t="s">
        <v>291</v>
      </c>
      <c r="B98" s="1" t="s">
        <v>101</v>
      </c>
      <c r="C98" s="1" t="s">
        <v>292</v>
      </c>
    </row>
    <row r="99" spans="1:3" x14ac:dyDescent="0.1">
      <c r="A99" s="1" t="s">
        <v>293</v>
      </c>
      <c r="B99" s="1" t="s">
        <v>101</v>
      </c>
      <c r="C99" s="1" t="s">
        <v>294</v>
      </c>
    </row>
    <row r="100" spans="1:3" x14ac:dyDescent="0.1">
      <c r="A100" s="1" t="s">
        <v>295</v>
      </c>
      <c r="B100" s="1" t="s">
        <v>101</v>
      </c>
      <c r="C100" s="1" t="s">
        <v>296</v>
      </c>
    </row>
    <row r="101" spans="1:3" x14ac:dyDescent="0.1">
      <c r="A101" s="1" t="s">
        <v>297</v>
      </c>
      <c r="B101" s="1" t="s">
        <v>101</v>
      </c>
      <c r="C101" s="1" t="s">
        <v>298</v>
      </c>
    </row>
    <row r="102" spans="1:3" x14ac:dyDescent="0.1">
      <c r="A102" s="1" t="s">
        <v>299</v>
      </c>
      <c r="B102" s="1" t="s">
        <v>101</v>
      </c>
      <c r="C102" s="1" t="s">
        <v>300</v>
      </c>
    </row>
    <row r="103" spans="1:3" x14ac:dyDescent="0.1">
      <c r="A103" s="1" t="s">
        <v>301</v>
      </c>
      <c r="B103" s="1" t="s">
        <v>101</v>
      </c>
      <c r="C103" s="1" t="s">
        <v>302</v>
      </c>
    </row>
    <row r="104" spans="1:3" x14ac:dyDescent="0.1">
      <c r="A104" s="1" t="s">
        <v>303</v>
      </c>
      <c r="B104" s="1" t="s">
        <v>101</v>
      </c>
      <c r="C104" s="1" t="s">
        <v>304</v>
      </c>
    </row>
    <row r="105" spans="1:3" x14ac:dyDescent="0.1">
      <c r="A105" s="1" t="s">
        <v>305</v>
      </c>
      <c r="B105" s="1" t="s">
        <v>101</v>
      </c>
      <c r="C105" s="1" t="s">
        <v>306</v>
      </c>
    </row>
    <row r="106" spans="1:3" x14ac:dyDescent="0.1">
      <c r="A106" s="1" t="s">
        <v>307</v>
      </c>
      <c r="B106" s="1" t="s">
        <v>101</v>
      </c>
      <c r="C106" s="1" t="s">
        <v>308</v>
      </c>
    </row>
    <row r="107" spans="1:3" x14ac:dyDescent="0.1">
      <c r="A107" s="1" t="s">
        <v>309</v>
      </c>
      <c r="B107" s="1" t="s">
        <v>101</v>
      </c>
      <c r="C107" s="1" t="s">
        <v>310</v>
      </c>
    </row>
    <row r="108" spans="1:3" x14ac:dyDescent="0.1">
      <c r="A108" s="1" t="s">
        <v>311</v>
      </c>
      <c r="B108" s="1" t="s">
        <v>101</v>
      </c>
      <c r="C108" s="1" t="s">
        <v>312</v>
      </c>
    </row>
    <row r="109" spans="1:3" x14ac:dyDescent="0.1">
      <c r="A109" s="1" t="s">
        <v>313</v>
      </c>
      <c r="B109" s="1" t="s">
        <v>101</v>
      </c>
      <c r="C109" s="1" t="s">
        <v>314</v>
      </c>
    </row>
    <row r="110" spans="1:3" x14ac:dyDescent="0.1">
      <c r="A110" s="1" t="s">
        <v>315</v>
      </c>
      <c r="B110" s="1" t="s">
        <v>101</v>
      </c>
      <c r="C110" s="1" t="s">
        <v>316</v>
      </c>
    </row>
    <row r="111" spans="1:3" x14ac:dyDescent="0.1">
      <c r="A111" s="1" t="s">
        <v>317</v>
      </c>
      <c r="B111" s="1" t="s">
        <v>101</v>
      </c>
      <c r="C111" s="1" t="s">
        <v>318</v>
      </c>
    </row>
    <row r="112" spans="1:3" x14ac:dyDescent="0.1">
      <c r="A112" s="1" t="s">
        <v>319</v>
      </c>
      <c r="B112" s="1" t="s">
        <v>101</v>
      </c>
      <c r="C112" s="1" t="s">
        <v>320</v>
      </c>
    </row>
    <row r="113" spans="1:3" x14ac:dyDescent="0.1">
      <c r="A113" s="1" t="s">
        <v>321</v>
      </c>
      <c r="B113" s="1" t="s">
        <v>101</v>
      </c>
      <c r="C113" s="1" t="s">
        <v>322</v>
      </c>
    </row>
    <row r="114" spans="1:3" x14ac:dyDescent="0.1">
      <c r="A114" s="1" t="s">
        <v>323</v>
      </c>
      <c r="B114" s="1" t="s">
        <v>101</v>
      </c>
      <c r="C114" s="1" t="s">
        <v>324</v>
      </c>
    </row>
    <row r="115" spans="1:3" x14ac:dyDescent="0.1">
      <c r="A115" s="1" t="s">
        <v>325</v>
      </c>
      <c r="B115" s="1" t="s">
        <v>101</v>
      </c>
      <c r="C115" s="1" t="s">
        <v>326</v>
      </c>
    </row>
    <row r="116" spans="1:3" x14ac:dyDescent="0.1">
      <c r="A116" s="1" t="s">
        <v>327</v>
      </c>
      <c r="B116" s="1" t="s">
        <v>101</v>
      </c>
      <c r="C116" s="1" t="s">
        <v>328</v>
      </c>
    </row>
    <row r="117" spans="1:3" x14ac:dyDescent="0.1">
      <c r="A117" s="1" t="s">
        <v>329</v>
      </c>
      <c r="B117" s="1" t="s">
        <v>101</v>
      </c>
      <c r="C117" s="1" t="s">
        <v>330</v>
      </c>
    </row>
    <row r="118" spans="1:3" x14ac:dyDescent="0.1">
      <c r="A118" s="1" t="s">
        <v>331</v>
      </c>
      <c r="B118" s="1" t="s">
        <v>101</v>
      </c>
      <c r="C118" s="1" t="s">
        <v>332</v>
      </c>
    </row>
    <row r="119" spans="1:3" x14ac:dyDescent="0.1">
      <c r="A119" s="1" t="s">
        <v>333</v>
      </c>
      <c r="B119" s="1" t="s">
        <v>101</v>
      </c>
      <c r="C119" s="1" t="s">
        <v>334</v>
      </c>
    </row>
    <row r="120" spans="1:3" x14ac:dyDescent="0.1">
      <c r="A120" s="1" t="s">
        <v>335</v>
      </c>
      <c r="B120" s="1" t="s">
        <v>101</v>
      </c>
      <c r="C120" s="1" t="s">
        <v>336</v>
      </c>
    </row>
    <row r="121" spans="1:3" x14ac:dyDescent="0.1">
      <c r="A121" s="1" t="s">
        <v>337</v>
      </c>
      <c r="B121" s="1" t="s">
        <v>101</v>
      </c>
      <c r="C121" s="1" t="s">
        <v>338</v>
      </c>
    </row>
    <row r="122" spans="1:3" x14ac:dyDescent="0.1">
      <c r="A122" s="1" t="s">
        <v>339</v>
      </c>
      <c r="B122" s="1" t="s">
        <v>101</v>
      </c>
      <c r="C122" s="1" t="s">
        <v>340</v>
      </c>
    </row>
    <row r="123" spans="1:3" x14ac:dyDescent="0.1">
      <c r="A123" s="1" t="s">
        <v>341</v>
      </c>
      <c r="B123" s="1" t="s">
        <v>101</v>
      </c>
      <c r="C123" s="1" t="s">
        <v>342</v>
      </c>
    </row>
    <row r="124" spans="1:3" x14ac:dyDescent="0.1">
      <c r="A124" s="1" t="s">
        <v>343</v>
      </c>
      <c r="B124" s="1" t="s">
        <v>101</v>
      </c>
      <c r="C124" s="1" t="s">
        <v>344</v>
      </c>
    </row>
    <row r="125" spans="1:3" x14ac:dyDescent="0.1">
      <c r="A125" s="1" t="s">
        <v>345</v>
      </c>
      <c r="B125" s="1" t="s">
        <v>101</v>
      </c>
      <c r="C125" s="1" t="s">
        <v>346</v>
      </c>
    </row>
    <row r="126" spans="1:3" x14ac:dyDescent="0.1">
      <c r="A126" s="1" t="s">
        <v>347</v>
      </c>
      <c r="B126" s="1" t="s">
        <v>101</v>
      </c>
      <c r="C126" s="1" t="s">
        <v>348</v>
      </c>
    </row>
    <row r="127" spans="1:3" x14ac:dyDescent="0.1">
      <c r="A127" s="1" t="s">
        <v>349</v>
      </c>
      <c r="B127" s="1" t="s">
        <v>101</v>
      </c>
      <c r="C127" s="1" t="s">
        <v>350</v>
      </c>
    </row>
    <row r="128" spans="1:3" x14ac:dyDescent="0.1">
      <c r="A128" s="1" t="s">
        <v>351</v>
      </c>
      <c r="B128" s="1" t="s">
        <v>101</v>
      </c>
      <c r="C128" s="1" t="s">
        <v>352</v>
      </c>
    </row>
    <row r="129" spans="1:3" x14ac:dyDescent="0.1">
      <c r="A129" s="1" t="s">
        <v>353</v>
      </c>
      <c r="B129" s="1" t="s">
        <v>101</v>
      </c>
      <c r="C129" s="1" t="s">
        <v>354</v>
      </c>
    </row>
    <row r="130" spans="1:3" x14ac:dyDescent="0.1">
      <c r="A130" s="1" t="s">
        <v>355</v>
      </c>
      <c r="B130" s="1" t="s">
        <v>101</v>
      </c>
      <c r="C130" s="1" t="s">
        <v>356</v>
      </c>
    </row>
    <row r="131" spans="1:3" x14ac:dyDescent="0.1">
      <c r="A131" s="1" t="s">
        <v>357</v>
      </c>
      <c r="B131" s="1" t="s">
        <v>101</v>
      </c>
      <c r="C131" s="1" t="s">
        <v>358</v>
      </c>
    </row>
    <row r="132" spans="1:3" x14ac:dyDescent="0.1">
      <c r="A132" s="1" t="s">
        <v>359</v>
      </c>
      <c r="B132" s="1" t="s">
        <v>101</v>
      </c>
      <c r="C132" s="1" t="s">
        <v>360</v>
      </c>
    </row>
    <row r="133" spans="1:3" x14ac:dyDescent="0.1">
      <c r="A133" s="1" t="s">
        <v>361</v>
      </c>
      <c r="B133" s="1" t="s">
        <v>101</v>
      </c>
      <c r="C133" s="1" t="s">
        <v>362</v>
      </c>
    </row>
    <row r="134" spans="1:3" x14ac:dyDescent="0.1">
      <c r="A134" s="1" t="s">
        <v>363</v>
      </c>
      <c r="B134" s="1" t="s">
        <v>101</v>
      </c>
      <c r="C134" s="1" t="s">
        <v>364</v>
      </c>
    </row>
    <row r="135" spans="1:3" x14ac:dyDescent="0.1">
      <c r="A135" s="1" t="s">
        <v>365</v>
      </c>
      <c r="B135" s="1" t="s">
        <v>101</v>
      </c>
      <c r="C135" s="1" t="s">
        <v>366</v>
      </c>
    </row>
    <row r="136" spans="1:3" x14ac:dyDescent="0.1">
      <c r="A136" s="1" t="s">
        <v>367</v>
      </c>
      <c r="B136" s="1" t="s">
        <v>101</v>
      </c>
      <c r="C136" s="1" t="s">
        <v>368</v>
      </c>
    </row>
    <row r="137" spans="1:3" x14ac:dyDescent="0.1">
      <c r="A137" s="1" t="s">
        <v>369</v>
      </c>
      <c r="B137" s="1" t="s">
        <v>101</v>
      </c>
      <c r="C137" s="1" t="s">
        <v>370</v>
      </c>
    </row>
    <row r="138" spans="1:3" x14ac:dyDescent="0.1">
      <c r="A138" s="1" t="s">
        <v>371</v>
      </c>
      <c r="B138" s="1" t="s">
        <v>101</v>
      </c>
      <c r="C138" s="1" t="s">
        <v>372</v>
      </c>
    </row>
    <row r="139" spans="1:3" x14ac:dyDescent="0.1">
      <c r="A139" s="1" t="s">
        <v>373</v>
      </c>
      <c r="B139" s="1" t="s">
        <v>101</v>
      </c>
      <c r="C139" s="1" t="s">
        <v>374</v>
      </c>
    </row>
    <row r="140" spans="1:3" x14ac:dyDescent="0.1">
      <c r="A140" s="1" t="s">
        <v>375</v>
      </c>
      <c r="B140" s="1" t="s">
        <v>101</v>
      </c>
      <c r="C140" s="1" t="s">
        <v>376</v>
      </c>
    </row>
    <row r="141" spans="1:3" x14ac:dyDescent="0.1">
      <c r="A141" s="1" t="s">
        <v>377</v>
      </c>
      <c r="B141" s="1" t="s">
        <v>101</v>
      </c>
      <c r="C141" s="1" t="s">
        <v>378</v>
      </c>
    </row>
    <row r="142" spans="1:3" x14ac:dyDescent="0.1">
      <c r="A142" s="1" t="s">
        <v>379</v>
      </c>
      <c r="B142" s="1" t="s">
        <v>101</v>
      </c>
      <c r="C142" s="1" t="s">
        <v>380</v>
      </c>
    </row>
    <row r="143" spans="1:3" x14ac:dyDescent="0.1">
      <c r="A143" s="1" t="s">
        <v>381</v>
      </c>
      <c r="B143" s="1" t="s">
        <v>101</v>
      </c>
      <c r="C143" s="1" t="s">
        <v>382</v>
      </c>
    </row>
    <row r="144" spans="1:3" x14ac:dyDescent="0.1">
      <c r="A144" s="1" t="s">
        <v>383</v>
      </c>
      <c r="B144" s="1" t="s">
        <v>101</v>
      </c>
      <c r="C144" s="1" t="s">
        <v>384</v>
      </c>
    </row>
    <row r="145" spans="1:3" x14ac:dyDescent="0.1">
      <c r="A145" s="1" t="s">
        <v>385</v>
      </c>
      <c r="B145" s="1" t="s">
        <v>101</v>
      </c>
      <c r="C145" s="1" t="s">
        <v>386</v>
      </c>
    </row>
    <row r="146" spans="1:3" x14ac:dyDescent="0.1">
      <c r="A146" s="1" t="s">
        <v>387</v>
      </c>
      <c r="B146" s="1" t="s">
        <v>101</v>
      </c>
      <c r="C146" s="1" t="s">
        <v>388</v>
      </c>
    </row>
    <row r="147" spans="1:3" x14ac:dyDescent="0.1">
      <c r="A147" s="1" t="s">
        <v>389</v>
      </c>
      <c r="B147" s="1" t="s">
        <v>101</v>
      </c>
      <c r="C147" s="1" t="s">
        <v>390</v>
      </c>
    </row>
    <row r="148" spans="1:3" x14ac:dyDescent="0.1">
      <c r="A148" s="1" t="s">
        <v>391</v>
      </c>
      <c r="B148" s="1" t="s">
        <v>101</v>
      </c>
      <c r="C148" s="1" t="s">
        <v>392</v>
      </c>
    </row>
    <row r="149" spans="1:3" x14ac:dyDescent="0.1">
      <c r="A149" s="1" t="s">
        <v>393</v>
      </c>
      <c r="B149" s="1" t="s">
        <v>101</v>
      </c>
      <c r="C149" s="1" t="s">
        <v>394</v>
      </c>
    </row>
    <row r="150" spans="1:3" x14ac:dyDescent="0.1">
      <c r="A150" s="1" t="s">
        <v>395</v>
      </c>
      <c r="B150" s="1" t="s">
        <v>101</v>
      </c>
      <c r="C150" s="1" t="s">
        <v>396</v>
      </c>
    </row>
    <row r="151" spans="1:3" x14ac:dyDescent="0.1">
      <c r="A151" s="1" t="s">
        <v>397</v>
      </c>
      <c r="B151" s="1" t="s">
        <v>101</v>
      </c>
      <c r="C151" s="1" t="s">
        <v>398</v>
      </c>
    </row>
    <row r="152" spans="1:3" x14ac:dyDescent="0.1">
      <c r="A152" s="1" t="s">
        <v>399</v>
      </c>
      <c r="B152" s="1" t="s">
        <v>101</v>
      </c>
      <c r="C152" s="1" t="s">
        <v>400</v>
      </c>
    </row>
    <row r="153" spans="1:3" x14ac:dyDescent="0.1">
      <c r="A153" s="1" t="s">
        <v>401</v>
      </c>
      <c r="B153" s="1" t="s">
        <v>101</v>
      </c>
      <c r="C153" s="1" t="s">
        <v>402</v>
      </c>
    </row>
    <row r="154" spans="1:3" x14ac:dyDescent="0.1">
      <c r="A154" s="1" t="s">
        <v>403</v>
      </c>
      <c r="B154" s="1" t="s">
        <v>101</v>
      </c>
      <c r="C154" s="1" t="s">
        <v>404</v>
      </c>
    </row>
    <row r="155" spans="1:3" x14ac:dyDescent="0.1">
      <c r="A155" s="1" t="s">
        <v>405</v>
      </c>
      <c r="B155" s="1" t="s">
        <v>101</v>
      </c>
      <c r="C155" s="1" t="s">
        <v>406</v>
      </c>
    </row>
    <row r="156" spans="1:3" x14ac:dyDescent="0.1">
      <c r="A156" s="1" t="s">
        <v>407</v>
      </c>
      <c r="B156" s="1" t="s">
        <v>101</v>
      </c>
      <c r="C156" s="1" t="s">
        <v>408</v>
      </c>
    </row>
    <row r="157" spans="1:3" x14ac:dyDescent="0.1">
      <c r="A157" s="1" t="s">
        <v>409</v>
      </c>
      <c r="B157" s="1" t="s">
        <v>101</v>
      </c>
      <c r="C157" s="1" t="s">
        <v>410</v>
      </c>
    </row>
    <row r="158" spans="1:3" x14ac:dyDescent="0.1">
      <c r="A158" s="1" t="s">
        <v>411</v>
      </c>
      <c r="B158" s="1" t="s">
        <v>101</v>
      </c>
      <c r="C158" s="1" t="s">
        <v>412</v>
      </c>
    </row>
    <row r="159" spans="1:3" x14ac:dyDescent="0.1">
      <c r="A159" s="1" t="s">
        <v>413</v>
      </c>
      <c r="B159" s="1" t="s">
        <v>101</v>
      </c>
      <c r="C159" s="1" t="s">
        <v>414</v>
      </c>
    </row>
    <row r="160" spans="1:3" x14ac:dyDescent="0.1">
      <c r="A160" s="1" t="s">
        <v>415</v>
      </c>
      <c r="B160" s="1" t="s">
        <v>101</v>
      </c>
      <c r="C160" s="1" t="s">
        <v>416</v>
      </c>
    </row>
    <row r="161" spans="1:3" x14ac:dyDescent="0.1">
      <c r="A161" s="1" t="s">
        <v>417</v>
      </c>
      <c r="B161" s="1" t="s">
        <v>101</v>
      </c>
      <c r="C161" s="1" t="s">
        <v>418</v>
      </c>
    </row>
    <row r="162" spans="1:3" x14ac:dyDescent="0.1">
      <c r="A162" s="1" t="s">
        <v>419</v>
      </c>
      <c r="B162" s="1" t="s">
        <v>101</v>
      </c>
      <c r="C162" s="1" t="s">
        <v>420</v>
      </c>
    </row>
    <row r="163" spans="1:3" x14ac:dyDescent="0.1">
      <c r="A163" s="1" t="s">
        <v>421</v>
      </c>
      <c r="B163" s="1" t="s">
        <v>101</v>
      </c>
      <c r="C163" s="1" t="s">
        <v>422</v>
      </c>
    </row>
    <row r="164" spans="1:3" x14ac:dyDescent="0.1">
      <c r="A164" s="1" t="s">
        <v>423</v>
      </c>
      <c r="B164" s="1" t="s">
        <v>101</v>
      </c>
      <c r="C164" s="1" t="s">
        <v>424</v>
      </c>
    </row>
    <row r="165" spans="1:3" x14ac:dyDescent="0.1">
      <c r="A165" s="1" t="s">
        <v>425</v>
      </c>
      <c r="B165" s="1" t="s">
        <v>101</v>
      </c>
      <c r="C165" s="1" t="s">
        <v>426</v>
      </c>
    </row>
    <row r="166" spans="1:3" x14ac:dyDescent="0.1">
      <c r="A166" s="1" t="s">
        <v>427</v>
      </c>
      <c r="B166" s="1" t="s">
        <v>101</v>
      </c>
      <c r="C166" s="1" t="s">
        <v>428</v>
      </c>
    </row>
    <row r="167" spans="1:3" x14ac:dyDescent="0.1">
      <c r="A167" s="1" t="s">
        <v>429</v>
      </c>
      <c r="B167" s="1" t="s">
        <v>101</v>
      </c>
      <c r="C167" s="1" t="s">
        <v>430</v>
      </c>
    </row>
    <row r="168" spans="1:3" x14ac:dyDescent="0.1">
      <c r="A168" s="1" t="s">
        <v>431</v>
      </c>
      <c r="B168" s="1" t="s">
        <v>101</v>
      </c>
      <c r="C168" s="1" t="s">
        <v>432</v>
      </c>
    </row>
    <row r="169" spans="1:3" x14ac:dyDescent="0.1">
      <c r="A169" s="1" t="s">
        <v>433</v>
      </c>
      <c r="B169" s="1" t="s">
        <v>101</v>
      </c>
      <c r="C169" s="1" t="s">
        <v>434</v>
      </c>
    </row>
    <row r="170" spans="1:3" x14ac:dyDescent="0.1">
      <c r="A170" s="1" t="s">
        <v>435</v>
      </c>
      <c r="B170" s="1" t="s">
        <v>101</v>
      </c>
      <c r="C170" s="1" t="s">
        <v>436</v>
      </c>
    </row>
    <row r="171" spans="1:3" x14ac:dyDescent="0.1">
      <c r="A171" s="1" t="s">
        <v>437</v>
      </c>
      <c r="B171" s="1" t="s">
        <v>101</v>
      </c>
      <c r="C171" s="1" t="s">
        <v>438</v>
      </c>
    </row>
    <row r="172" spans="1:3" x14ac:dyDescent="0.1">
      <c r="A172" s="1" t="s">
        <v>439</v>
      </c>
      <c r="B172" s="1" t="s">
        <v>101</v>
      </c>
      <c r="C172" s="1" t="s">
        <v>440</v>
      </c>
    </row>
    <row r="173" spans="1:3" x14ac:dyDescent="0.1">
      <c r="A173" s="1" t="s">
        <v>441</v>
      </c>
      <c r="B173" s="1" t="s">
        <v>101</v>
      </c>
      <c r="C173" s="1" t="s">
        <v>442</v>
      </c>
    </row>
    <row r="174" spans="1:3" x14ac:dyDescent="0.1">
      <c r="A174" s="1" t="s">
        <v>443</v>
      </c>
      <c r="B174" s="1" t="s">
        <v>101</v>
      </c>
      <c r="C174" s="1" t="s">
        <v>444</v>
      </c>
    </row>
    <row r="175" spans="1:3" x14ac:dyDescent="0.1">
      <c r="A175" s="1" t="s">
        <v>445</v>
      </c>
      <c r="B175" s="1" t="s">
        <v>101</v>
      </c>
      <c r="C175" s="1" t="s">
        <v>446</v>
      </c>
    </row>
    <row r="176" spans="1:3" x14ac:dyDescent="0.1">
      <c r="A176" s="1" t="s">
        <v>447</v>
      </c>
      <c r="B176" s="1" t="s">
        <v>101</v>
      </c>
      <c r="C176" s="1" t="s">
        <v>448</v>
      </c>
    </row>
    <row r="177" spans="1:3" x14ac:dyDescent="0.1">
      <c r="A177" s="1" t="s">
        <v>449</v>
      </c>
      <c r="B177" s="1" t="s">
        <v>101</v>
      </c>
      <c r="C177" s="1" t="s">
        <v>450</v>
      </c>
    </row>
    <row r="178" spans="1:3" x14ac:dyDescent="0.1">
      <c r="A178" s="1" t="s">
        <v>451</v>
      </c>
      <c r="B178" s="1" t="s">
        <v>101</v>
      </c>
      <c r="C178" s="1" t="s">
        <v>452</v>
      </c>
    </row>
    <row r="179" spans="1:3" x14ac:dyDescent="0.1">
      <c r="A179" s="1" t="s">
        <v>453</v>
      </c>
      <c r="B179" s="1" t="s">
        <v>101</v>
      </c>
      <c r="C179" s="1" t="s">
        <v>454</v>
      </c>
    </row>
    <row r="180" spans="1:3" x14ac:dyDescent="0.1">
      <c r="A180" s="1" t="s">
        <v>455</v>
      </c>
      <c r="B180" s="1" t="s">
        <v>101</v>
      </c>
      <c r="C180" s="1" t="s">
        <v>456</v>
      </c>
    </row>
    <row r="181" spans="1:3" x14ac:dyDescent="0.1">
      <c r="A181" s="1" t="s">
        <v>457</v>
      </c>
      <c r="B181" s="1" t="s">
        <v>101</v>
      </c>
      <c r="C181" s="1" t="s">
        <v>458</v>
      </c>
    </row>
    <row r="182" spans="1:3" x14ac:dyDescent="0.1">
      <c r="A182" s="5" t="s">
        <v>459</v>
      </c>
      <c r="B182" s="5" t="s">
        <v>460</v>
      </c>
      <c r="C182" s="2"/>
    </row>
    <row r="183" spans="1:3" x14ac:dyDescent="0.1">
      <c r="A183" s="1" t="s">
        <v>461</v>
      </c>
      <c r="B183" s="1" t="s">
        <v>460</v>
      </c>
      <c r="C183" s="1" t="s">
        <v>462</v>
      </c>
    </row>
    <row r="184" spans="1:3" x14ac:dyDescent="0.1">
      <c r="A184" s="1" t="s">
        <v>463</v>
      </c>
      <c r="B184" s="1" t="s">
        <v>460</v>
      </c>
      <c r="C184" s="1" t="s">
        <v>464</v>
      </c>
    </row>
    <row r="185" spans="1:3" x14ac:dyDescent="0.1">
      <c r="A185" s="1" t="s">
        <v>465</v>
      </c>
      <c r="B185" s="1" t="s">
        <v>460</v>
      </c>
      <c r="C185" s="1" t="s">
        <v>466</v>
      </c>
    </row>
    <row r="186" spans="1:3" x14ac:dyDescent="0.1">
      <c r="A186" s="1" t="s">
        <v>467</v>
      </c>
      <c r="B186" s="1" t="s">
        <v>460</v>
      </c>
      <c r="C186" s="1" t="s">
        <v>468</v>
      </c>
    </row>
    <row r="187" spans="1:3" x14ac:dyDescent="0.1">
      <c r="A187" s="1" t="s">
        <v>469</v>
      </c>
      <c r="B187" s="1" t="s">
        <v>460</v>
      </c>
      <c r="C187" s="1" t="s">
        <v>470</v>
      </c>
    </row>
    <row r="188" spans="1:3" x14ac:dyDescent="0.1">
      <c r="A188" s="1" t="s">
        <v>471</v>
      </c>
      <c r="B188" s="1" t="s">
        <v>460</v>
      </c>
      <c r="C188" s="1" t="s">
        <v>472</v>
      </c>
    </row>
    <row r="189" spans="1:3" x14ac:dyDescent="0.1">
      <c r="A189" s="1" t="s">
        <v>473</v>
      </c>
      <c r="B189" s="1" t="s">
        <v>460</v>
      </c>
      <c r="C189" s="1" t="s">
        <v>474</v>
      </c>
    </row>
    <row r="190" spans="1:3" x14ac:dyDescent="0.1">
      <c r="A190" s="1" t="s">
        <v>475</v>
      </c>
      <c r="B190" s="1" t="s">
        <v>460</v>
      </c>
      <c r="C190" s="1" t="s">
        <v>476</v>
      </c>
    </row>
    <row r="191" spans="1:3" x14ac:dyDescent="0.1">
      <c r="A191" s="1" t="s">
        <v>477</v>
      </c>
      <c r="B191" s="1" t="s">
        <v>460</v>
      </c>
      <c r="C191" s="1" t="s">
        <v>478</v>
      </c>
    </row>
    <row r="192" spans="1:3" x14ac:dyDescent="0.1">
      <c r="A192" s="1" t="s">
        <v>479</v>
      </c>
      <c r="B192" s="1" t="s">
        <v>460</v>
      </c>
      <c r="C192" s="1" t="s">
        <v>480</v>
      </c>
    </row>
    <row r="193" spans="1:3" x14ac:dyDescent="0.1">
      <c r="A193" s="1" t="s">
        <v>481</v>
      </c>
      <c r="B193" s="1" t="s">
        <v>460</v>
      </c>
      <c r="C193" s="1" t="s">
        <v>482</v>
      </c>
    </row>
    <row r="194" spans="1:3" x14ac:dyDescent="0.1">
      <c r="A194" s="1" t="s">
        <v>483</v>
      </c>
      <c r="B194" s="1" t="s">
        <v>460</v>
      </c>
      <c r="C194" s="1" t="s">
        <v>484</v>
      </c>
    </row>
    <row r="195" spans="1:3" x14ac:dyDescent="0.1">
      <c r="A195" s="1" t="s">
        <v>485</v>
      </c>
      <c r="B195" s="1" t="s">
        <v>460</v>
      </c>
      <c r="C195" s="1" t="s">
        <v>486</v>
      </c>
    </row>
    <row r="196" spans="1:3" x14ac:dyDescent="0.1">
      <c r="A196" s="1" t="s">
        <v>487</v>
      </c>
      <c r="B196" s="1" t="s">
        <v>460</v>
      </c>
      <c r="C196" s="1" t="s">
        <v>488</v>
      </c>
    </row>
    <row r="197" spans="1:3" x14ac:dyDescent="0.1">
      <c r="A197" s="1" t="s">
        <v>489</v>
      </c>
      <c r="B197" s="1" t="s">
        <v>460</v>
      </c>
      <c r="C197" s="1" t="s">
        <v>490</v>
      </c>
    </row>
    <row r="198" spans="1:3" x14ac:dyDescent="0.1">
      <c r="A198" s="1" t="s">
        <v>491</v>
      </c>
      <c r="B198" s="1" t="s">
        <v>460</v>
      </c>
      <c r="C198" s="1" t="s">
        <v>492</v>
      </c>
    </row>
    <row r="199" spans="1:3" x14ac:dyDescent="0.1">
      <c r="A199" s="1" t="s">
        <v>493</v>
      </c>
      <c r="B199" s="1" t="s">
        <v>460</v>
      </c>
      <c r="C199" s="1" t="s">
        <v>494</v>
      </c>
    </row>
    <row r="200" spans="1:3" x14ac:dyDescent="0.1">
      <c r="A200" s="1" t="s">
        <v>495</v>
      </c>
      <c r="B200" s="1" t="s">
        <v>460</v>
      </c>
      <c r="C200" s="1" t="s">
        <v>496</v>
      </c>
    </row>
    <row r="201" spans="1:3" x14ac:dyDescent="0.1">
      <c r="A201" s="1" t="s">
        <v>497</v>
      </c>
      <c r="B201" s="1" t="s">
        <v>460</v>
      </c>
      <c r="C201" s="1" t="s">
        <v>498</v>
      </c>
    </row>
    <row r="202" spans="1:3" x14ac:dyDescent="0.1">
      <c r="A202" s="1" t="s">
        <v>499</v>
      </c>
      <c r="B202" s="1" t="s">
        <v>460</v>
      </c>
      <c r="C202" s="1" t="s">
        <v>500</v>
      </c>
    </row>
    <row r="203" spans="1:3" x14ac:dyDescent="0.1">
      <c r="A203" s="1" t="s">
        <v>501</v>
      </c>
      <c r="B203" s="1" t="s">
        <v>460</v>
      </c>
      <c r="C203" s="1" t="s">
        <v>502</v>
      </c>
    </row>
    <row r="204" spans="1:3" x14ac:dyDescent="0.1">
      <c r="A204" s="1" t="s">
        <v>503</v>
      </c>
      <c r="B204" s="1" t="s">
        <v>460</v>
      </c>
      <c r="C204" s="1" t="s">
        <v>504</v>
      </c>
    </row>
    <row r="205" spans="1:3" x14ac:dyDescent="0.1">
      <c r="A205" s="1" t="s">
        <v>505</v>
      </c>
      <c r="B205" s="1" t="s">
        <v>460</v>
      </c>
      <c r="C205" s="1" t="s">
        <v>506</v>
      </c>
    </row>
    <row r="206" spans="1:3" x14ac:dyDescent="0.1">
      <c r="A206" s="1" t="s">
        <v>507</v>
      </c>
      <c r="B206" s="1" t="s">
        <v>460</v>
      </c>
      <c r="C206" s="1" t="s">
        <v>508</v>
      </c>
    </row>
    <row r="207" spans="1:3" x14ac:dyDescent="0.1">
      <c r="A207" s="1" t="s">
        <v>509</v>
      </c>
      <c r="B207" s="1" t="s">
        <v>460</v>
      </c>
      <c r="C207" s="1" t="s">
        <v>510</v>
      </c>
    </row>
    <row r="208" spans="1:3" x14ac:dyDescent="0.1">
      <c r="A208" s="1" t="s">
        <v>511</v>
      </c>
      <c r="B208" s="1" t="s">
        <v>460</v>
      </c>
      <c r="C208" s="1" t="s">
        <v>512</v>
      </c>
    </row>
    <row r="209" spans="1:3" x14ac:dyDescent="0.1">
      <c r="A209" s="1" t="s">
        <v>513</v>
      </c>
      <c r="B209" s="1" t="s">
        <v>460</v>
      </c>
      <c r="C209" s="1" t="s">
        <v>514</v>
      </c>
    </row>
    <row r="210" spans="1:3" x14ac:dyDescent="0.1">
      <c r="A210" s="1" t="s">
        <v>515</v>
      </c>
      <c r="B210" s="1" t="s">
        <v>460</v>
      </c>
      <c r="C210" s="1" t="s">
        <v>516</v>
      </c>
    </row>
    <row r="211" spans="1:3" x14ac:dyDescent="0.1">
      <c r="A211" s="1" t="s">
        <v>517</v>
      </c>
      <c r="B211" s="1" t="s">
        <v>460</v>
      </c>
      <c r="C211" s="1" t="s">
        <v>518</v>
      </c>
    </row>
    <row r="212" spans="1:3" x14ac:dyDescent="0.1">
      <c r="A212" s="1" t="s">
        <v>519</v>
      </c>
      <c r="B212" s="1" t="s">
        <v>460</v>
      </c>
      <c r="C212" s="1" t="s">
        <v>520</v>
      </c>
    </row>
    <row r="213" spans="1:3" x14ac:dyDescent="0.1">
      <c r="A213" s="1" t="s">
        <v>521</v>
      </c>
      <c r="B213" s="1" t="s">
        <v>460</v>
      </c>
      <c r="C213" s="1" t="s">
        <v>522</v>
      </c>
    </row>
    <row r="214" spans="1:3" x14ac:dyDescent="0.1">
      <c r="A214" s="1" t="s">
        <v>523</v>
      </c>
      <c r="B214" s="1" t="s">
        <v>460</v>
      </c>
      <c r="C214" s="1" t="s">
        <v>524</v>
      </c>
    </row>
    <row r="215" spans="1:3" x14ac:dyDescent="0.1">
      <c r="A215" s="1" t="s">
        <v>525</v>
      </c>
      <c r="B215" s="1" t="s">
        <v>460</v>
      </c>
      <c r="C215" s="1" t="s">
        <v>526</v>
      </c>
    </row>
    <row r="216" spans="1:3" x14ac:dyDescent="0.1">
      <c r="A216" s="1" t="s">
        <v>527</v>
      </c>
      <c r="B216" s="1" t="s">
        <v>460</v>
      </c>
      <c r="C216" s="1" t="s">
        <v>528</v>
      </c>
    </row>
    <row r="217" spans="1:3" x14ac:dyDescent="0.1">
      <c r="A217" s="1" t="s">
        <v>529</v>
      </c>
      <c r="B217" s="1" t="s">
        <v>460</v>
      </c>
      <c r="C217" s="1" t="s">
        <v>530</v>
      </c>
    </row>
    <row r="218" spans="1:3" x14ac:dyDescent="0.1">
      <c r="A218" s="1" t="s">
        <v>531</v>
      </c>
      <c r="B218" s="1" t="s">
        <v>460</v>
      </c>
      <c r="C218" s="1" t="s">
        <v>532</v>
      </c>
    </row>
    <row r="219" spans="1:3" x14ac:dyDescent="0.1">
      <c r="A219" s="1" t="s">
        <v>533</v>
      </c>
      <c r="B219" s="1" t="s">
        <v>460</v>
      </c>
      <c r="C219" s="1" t="s">
        <v>534</v>
      </c>
    </row>
    <row r="220" spans="1:3" x14ac:dyDescent="0.1">
      <c r="A220" s="1" t="s">
        <v>535</v>
      </c>
      <c r="B220" s="1" t="s">
        <v>460</v>
      </c>
      <c r="C220" s="1" t="s">
        <v>536</v>
      </c>
    </row>
    <row r="221" spans="1:3" x14ac:dyDescent="0.1">
      <c r="A221" s="1" t="s">
        <v>537</v>
      </c>
      <c r="B221" s="1" t="s">
        <v>460</v>
      </c>
      <c r="C221" s="1" t="s">
        <v>538</v>
      </c>
    </row>
    <row r="222" spans="1:3" x14ac:dyDescent="0.1">
      <c r="A222" s="1" t="s">
        <v>539</v>
      </c>
      <c r="B222" s="1" t="s">
        <v>460</v>
      </c>
      <c r="C222" s="1" t="s">
        <v>540</v>
      </c>
    </row>
    <row r="223" spans="1:3" x14ac:dyDescent="0.1">
      <c r="A223" s="5" t="s">
        <v>541</v>
      </c>
      <c r="B223" s="5" t="s">
        <v>542</v>
      </c>
      <c r="C223" s="2"/>
    </row>
    <row r="224" spans="1:3" x14ac:dyDescent="0.1">
      <c r="A224" s="1" t="s">
        <v>543</v>
      </c>
      <c r="B224" s="1" t="s">
        <v>542</v>
      </c>
      <c r="C224" s="1" t="s">
        <v>544</v>
      </c>
    </row>
    <row r="225" spans="1:3" x14ac:dyDescent="0.1">
      <c r="A225" s="1" t="s">
        <v>545</v>
      </c>
      <c r="B225" s="1" t="s">
        <v>542</v>
      </c>
      <c r="C225" s="1" t="s">
        <v>546</v>
      </c>
    </row>
    <row r="226" spans="1:3" x14ac:dyDescent="0.1">
      <c r="A226" s="1" t="s">
        <v>547</v>
      </c>
      <c r="B226" s="1" t="s">
        <v>542</v>
      </c>
      <c r="C226" s="1" t="s">
        <v>548</v>
      </c>
    </row>
    <row r="227" spans="1:3" x14ac:dyDescent="0.1">
      <c r="A227" s="1" t="s">
        <v>549</v>
      </c>
      <c r="B227" s="1" t="s">
        <v>542</v>
      </c>
      <c r="C227" s="1" t="s">
        <v>550</v>
      </c>
    </row>
    <row r="228" spans="1:3" x14ac:dyDescent="0.1">
      <c r="A228" s="1" t="s">
        <v>551</v>
      </c>
      <c r="B228" s="1" t="s">
        <v>542</v>
      </c>
      <c r="C228" s="1" t="s">
        <v>552</v>
      </c>
    </row>
    <row r="229" spans="1:3" x14ac:dyDescent="0.1">
      <c r="A229" s="1" t="s">
        <v>553</v>
      </c>
      <c r="B229" s="1" t="s">
        <v>542</v>
      </c>
      <c r="C229" s="1" t="s">
        <v>554</v>
      </c>
    </row>
    <row r="230" spans="1:3" x14ac:dyDescent="0.1">
      <c r="A230" s="1" t="s">
        <v>555</v>
      </c>
      <c r="B230" s="1" t="s">
        <v>542</v>
      </c>
      <c r="C230" s="1" t="s">
        <v>556</v>
      </c>
    </row>
    <row r="231" spans="1:3" x14ac:dyDescent="0.1">
      <c r="A231" s="1" t="s">
        <v>557</v>
      </c>
      <c r="B231" s="1" t="s">
        <v>542</v>
      </c>
      <c r="C231" s="1" t="s">
        <v>558</v>
      </c>
    </row>
    <row r="232" spans="1:3" x14ac:dyDescent="0.1">
      <c r="A232" s="1" t="s">
        <v>559</v>
      </c>
      <c r="B232" s="1" t="s">
        <v>542</v>
      </c>
      <c r="C232" s="1" t="s">
        <v>560</v>
      </c>
    </row>
    <row r="233" spans="1:3" x14ac:dyDescent="0.1">
      <c r="A233" s="1" t="s">
        <v>561</v>
      </c>
      <c r="B233" s="1" t="s">
        <v>542</v>
      </c>
      <c r="C233" s="1" t="s">
        <v>562</v>
      </c>
    </row>
    <row r="234" spans="1:3" x14ac:dyDescent="0.1">
      <c r="A234" s="1" t="s">
        <v>563</v>
      </c>
      <c r="B234" s="1" t="s">
        <v>542</v>
      </c>
      <c r="C234" s="1" t="s">
        <v>564</v>
      </c>
    </row>
    <row r="235" spans="1:3" x14ac:dyDescent="0.1">
      <c r="A235" s="1" t="s">
        <v>565</v>
      </c>
      <c r="B235" s="1" t="s">
        <v>542</v>
      </c>
      <c r="C235" s="1" t="s">
        <v>566</v>
      </c>
    </row>
    <row r="236" spans="1:3" x14ac:dyDescent="0.1">
      <c r="A236" s="1" t="s">
        <v>567</v>
      </c>
      <c r="B236" s="1" t="s">
        <v>542</v>
      </c>
      <c r="C236" s="1" t="s">
        <v>568</v>
      </c>
    </row>
    <row r="237" spans="1:3" x14ac:dyDescent="0.1">
      <c r="A237" s="1" t="s">
        <v>569</v>
      </c>
      <c r="B237" s="1" t="s">
        <v>542</v>
      </c>
      <c r="C237" s="1" t="s">
        <v>3634</v>
      </c>
    </row>
    <row r="238" spans="1:3" x14ac:dyDescent="0.1">
      <c r="A238" s="1" t="s">
        <v>570</v>
      </c>
      <c r="B238" s="1" t="s">
        <v>542</v>
      </c>
      <c r="C238" s="1" t="s">
        <v>571</v>
      </c>
    </row>
    <row r="239" spans="1:3" x14ac:dyDescent="0.1">
      <c r="A239" s="1" t="s">
        <v>572</v>
      </c>
      <c r="B239" s="1" t="s">
        <v>542</v>
      </c>
      <c r="C239" s="1" t="s">
        <v>573</v>
      </c>
    </row>
    <row r="240" spans="1:3" x14ac:dyDescent="0.1">
      <c r="A240" s="1" t="s">
        <v>574</v>
      </c>
      <c r="B240" s="1" t="s">
        <v>542</v>
      </c>
      <c r="C240" s="1" t="s">
        <v>575</v>
      </c>
    </row>
    <row r="241" spans="1:3" x14ac:dyDescent="0.1">
      <c r="A241" s="1" t="s">
        <v>576</v>
      </c>
      <c r="B241" s="1" t="s">
        <v>542</v>
      </c>
      <c r="C241" s="1" t="s">
        <v>577</v>
      </c>
    </row>
    <row r="242" spans="1:3" x14ac:dyDescent="0.1">
      <c r="A242" s="1" t="s">
        <v>578</v>
      </c>
      <c r="B242" s="1" t="s">
        <v>542</v>
      </c>
      <c r="C242" s="1" t="s">
        <v>579</v>
      </c>
    </row>
    <row r="243" spans="1:3" x14ac:dyDescent="0.1">
      <c r="A243" s="1" t="s">
        <v>580</v>
      </c>
      <c r="B243" s="1" t="s">
        <v>542</v>
      </c>
      <c r="C243" s="1" t="s">
        <v>581</v>
      </c>
    </row>
    <row r="244" spans="1:3" x14ac:dyDescent="0.1">
      <c r="A244" s="1" t="s">
        <v>582</v>
      </c>
      <c r="B244" s="1" t="s">
        <v>542</v>
      </c>
      <c r="C244" s="1" t="s">
        <v>583</v>
      </c>
    </row>
    <row r="245" spans="1:3" x14ac:dyDescent="0.1">
      <c r="A245" s="1" t="s">
        <v>584</v>
      </c>
      <c r="B245" s="1" t="s">
        <v>542</v>
      </c>
      <c r="C245" s="1" t="s">
        <v>585</v>
      </c>
    </row>
    <row r="246" spans="1:3" x14ac:dyDescent="0.1">
      <c r="A246" s="1" t="s">
        <v>586</v>
      </c>
      <c r="B246" s="1" t="s">
        <v>542</v>
      </c>
      <c r="C246" s="1" t="s">
        <v>587</v>
      </c>
    </row>
    <row r="247" spans="1:3" x14ac:dyDescent="0.1">
      <c r="A247" s="1" t="s">
        <v>588</v>
      </c>
      <c r="B247" s="1" t="s">
        <v>542</v>
      </c>
      <c r="C247" s="1" t="s">
        <v>589</v>
      </c>
    </row>
    <row r="248" spans="1:3" x14ac:dyDescent="0.1">
      <c r="A248" s="1" t="s">
        <v>590</v>
      </c>
      <c r="B248" s="1" t="s">
        <v>542</v>
      </c>
      <c r="C248" s="1" t="s">
        <v>591</v>
      </c>
    </row>
    <row r="249" spans="1:3" x14ac:dyDescent="0.1">
      <c r="A249" s="1" t="s">
        <v>592</v>
      </c>
      <c r="B249" s="1" t="s">
        <v>542</v>
      </c>
      <c r="C249" s="1" t="s">
        <v>593</v>
      </c>
    </row>
    <row r="250" spans="1:3" x14ac:dyDescent="0.1">
      <c r="A250" s="1" t="s">
        <v>594</v>
      </c>
      <c r="B250" s="1" t="s">
        <v>542</v>
      </c>
      <c r="C250" s="1" t="s">
        <v>595</v>
      </c>
    </row>
    <row r="251" spans="1:3" x14ac:dyDescent="0.1">
      <c r="A251" s="1" t="s">
        <v>596</v>
      </c>
      <c r="B251" s="1" t="s">
        <v>542</v>
      </c>
      <c r="C251" s="1" t="s">
        <v>597</v>
      </c>
    </row>
    <row r="252" spans="1:3" x14ac:dyDescent="0.1">
      <c r="A252" s="1" t="s">
        <v>598</v>
      </c>
      <c r="B252" s="1" t="s">
        <v>542</v>
      </c>
      <c r="C252" s="1" t="s">
        <v>599</v>
      </c>
    </row>
    <row r="253" spans="1:3" x14ac:dyDescent="0.1">
      <c r="A253" s="1" t="s">
        <v>600</v>
      </c>
      <c r="B253" s="1" t="s">
        <v>542</v>
      </c>
      <c r="C253" s="1" t="s">
        <v>601</v>
      </c>
    </row>
    <row r="254" spans="1:3" x14ac:dyDescent="0.1">
      <c r="A254" s="1" t="s">
        <v>602</v>
      </c>
      <c r="B254" s="1" t="s">
        <v>542</v>
      </c>
      <c r="C254" s="1" t="s">
        <v>603</v>
      </c>
    </row>
    <row r="255" spans="1:3" x14ac:dyDescent="0.1">
      <c r="A255" s="1" t="s">
        <v>604</v>
      </c>
      <c r="B255" s="1" t="s">
        <v>542</v>
      </c>
      <c r="C255" s="1" t="s">
        <v>605</v>
      </c>
    </row>
    <row r="256" spans="1:3" x14ac:dyDescent="0.1">
      <c r="A256" s="1" t="s">
        <v>606</v>
      </c>
      <c r="B256" s="1" t="s">
        <v>542</v>
      </c>
      <c r="C256" s="1" t="s">
        <v>607</v>
      </c>
    </row>
    <row r="257" spans="1:3" x14ac:dyDescent="0.1">
      <c r="A257" s="5" t="s">
        <v>608</v>
      </c>
      <c r="B257" s="5" t="s">
        <v>609</v>
      </c>
      <c r="C257" s="2"/>
    </row>
    <row r="258" spans="1:3" x14ac:dyDescent="0.1">
      <c r="A258" s="1" t="s">
        <v>610</v>
      </c>
      <c r="B258" s="1" t="s">
        <v>609</v>
      </c>
      <c r="C258" s="1" t="s">
        <v>611</v>
      </c>
    </row>
    <row r="259" spans="1:3" x14ac:dyDescent="0.1">
      <c r="A259" s="1" t="s">
        <v>612</v>
      </c>
      <c r="B259" s="1" t="s">
        <v>609</v>
      </c>
      <c r="C259" s="1" t="s">
        <v>613</v>
      </c>
    </row>
    <row r="260" spans="1:3" x14ac:dyDescent="0.1">
      <c r="A260" s="1" t="s">
        <v>614</v>
      </c>
      <c r="B260" s="1" t="s">
        <v>609</v>
      </c>
      <c r="C260" s="1" t="s">
        <v>615</v>
      </c>
    </row>
    <row r="261" spans="1:3" x14ac:dyDescent="0.1">
      <c r="A261" s="1" t="s">
        <v>616</v>
      </c>
      <c r="B261" s="1" t="s">
        <v>609</v>
      </c>
      <c r="C261" s="1" t="s">
        <v>617</v>
      </c>
    </row>
    <row r="262" spans="1:3" x14ac:dyDescent="0.1">
      <c r="A262" s="1" t="s">
        <v>618</v>
      </c>
      <c r="B262" s="1" t="s">
        <v>609</v>
      </c>
      <c r="C262" s="1" t="s">
        <v>619</v>
      </c>
    </row>
    <row r="263" spans="1:3" x14ac:dyDescent="0.1">
      <c r="A263" s="1" t="s">
        <v>620</v>
      </c>
      <c r="B263" s="1" t="s">
        <v>609</v>
      </c>
      <c r="C263" s="1" t="s">
        <v>621</v>
      </c>
    </row>
    <row r="264" spans="1:3" x14ac:dyDescent="0.1">
      <c r="A264" s="1" t="s">
        <v>622</v>
      </c>
      <c r="B264" s="1" t="s">
        <v>609</v>
      </c>
      <c r="C264" s="1" t="s">
        <v>623</v>
      </c>
    </row>
    <row r="265" spans="1:3" x14ac:dyDescent="0.1">
      <c r="A265" s="1" t="s">
        <v>624</v>
      </c>
      <c r="B265" s="1" t="s">
        <v>609</v>
      </c>
      <c r="C265" s="1" t="s">
        <v>625</v>
      </c>
    </row>
    <row r="266" spans="1:3" x14ac:dyDescent="0.1">
      <c r="A266" s="1" t="s">
        <v>626</v>
      </c>
      <c r="B266" s="1" t="s">
        <v>609</v>
      </c>
      <c r="C266" s="1" t="s">
        <v>627</v>
      </c>
    </row>
    <row r="267" spans="1:3" x14ac:dyDescent="0.1">
      <c r="A267" s="1" t="s">
        <v>628</v>
      </c>
      <c r="B267" s="1" t="s">
        <v>609</v>
      </c>
      <c r="C267" s="1" t="s">
        <v>629</v>
      </c>
    </row>
    <row r="268" spans="1:3" x14ac:dyDescent="0.1">
      <c r="A268" s="1" t="s">
        <v>630</v>
      </c>
      <c r="B268" s="1" t="s">
        <v>609</v>
      </c>
      <c r="C268" s="1" t="s">
        <v>631</v>
      </c>
    </row>
    <row r="269" spans="1:3" x14ac:dyDescent="0.1">
      <c r="A269" s="1" t="s">
        <v>632</v>
      </c>
      <c r="B269" s="1" t="s">
        <v>609</v>
      </c>
      <c r="C269" s="1" t="s">
        <v>633</v>
      </c>
    </row>
    <row r="270" spans="1:3" x14ac:dyDescent="0.1">
      <c r="A270" s="1" t="s">
        <v>634</v>
      </c>
      <c r="B270" s="1" t="s">
        <v>609</v>
      </c>
      <c r="C270" s="1" t="s">
        <v>635</v>
      </c>
    </row>
    <row r="271" spans="1:3" x14ac:dyDescent="0.1">
      <c r="A271" s="1" t="s">
        <v>636</v>
      </c>
      <c r="B271" s="1" t="s">
        <v>609</v>
      </c>
      <c r="C271" s="1" t="s">
        <v>3635</v>
      </c>
    </row>
    <row r="272" spans="1:3" x14ac:dyDescent="0.1">
      <c r="A272" s="1" t="s">
        <v>637</v>
      </c>
      <c r="B272" s="1" t="s">
        <v>609</v>
      </c>
      <c r="C272" s="1" t="s">
        <v>638</v>
      </c>
    </row>
    <row r="273" spans="1:3" x14ac:dyDescent="0.1">
      <c r="A273" s="1" t="s">
        <v>639</v>
      </c>
      <c r="B273" s="1" t="s">
        <v>609</v>
      </c>
      <c r="C273" s="1" t="s">
        <v>640</v>
      </c>
    </row>
    <row r="274" spans="1:3" x14ac:dyDescent="0.1">
      <c r="A274" s="1" t="s">
        <v>641</v>
      </c>
      <c r="B274" s="1" t="s">
        <v>609</v>
      </c>
      <c r="C274" s="1" t="s">
        <v>642</v>
      </c>
    </row>
    <row r="275" spans="1:3" x14ac:dyDescent="0.1">
      <c r="A275" s="1" t="s">
        <v>643</v>
      </c>
      <c r="B275" s="1" t="s">
        <v>609</v>
      </c>
      <c r="C275" s="1" t="s">
        <v>644</v>
      </c>
    </row>
    <row r="276" spans="1:3" x14ac:dyDescent="0.1">
      <c r="A276" s="1" t="s">
        <v>645</v>
      </c>
      <c r="B276" s="1" t="s">
        <v>609</v>
      </c>
      <c r="C276" s="1" t="s">
        <v>646</v>
      </c>
    </row>
    <row r="277" spans="1:3" x14ac:dyDescent="0.1">
      <c r="A277" s="1" t="s">
        <v>647</v>
      </c>
      <c r="B277" s="1" t="s">
        <v>609</v>
      </c>
      <c r="C277" s="1" t="s">
        <v>648</v>
      </c>
    </row>
    <row r="278" spans="1:3" x14ac:dyDescent="0.1">
      <c r="A278" s="1" t="s">
        <v>649</v>
      </c>
      <c r="B278" s="1" t="s">
        <v>609</v>
      </c>
      <c r="C278" s="1" t="s">
        <v>650</v>
      </c>
    </row>
    <row r="279" spans="1:3" x14ac:dyDescent="0.1">
      <c r="A279" s="1" t="s">
        <v>651</v>
      </c>
      <c r="B279" s="1" t="s">
        <v>609</v>
      </c>
      <c r="C279" s="1" t="s">
        <v>652</v>
      </c>
    </row>
    <row r="280" spans="1:3" x14ac:dyDescent="0.1">
      <c r="A280" s="1" t="s">
        <v>653</v>
      </c>
      <c r="B280" s="1" t="s">
        <v>609</v>
      </c>
      <c r="C280" s="1" t="s">
        <v>654</v>
      </c>
    </row>
    <row r="281" spans="1:3" x14ac:dyDescent="0.1">
      <c r="A281" s="1" t="s">
        <v>655</v>
      </c>
      <c r="B281" s="1" t="s">
        <v>609</v>
      </c>
      <c r="C281" s="1" t="s">
        <v>656</v>
      </c>
    </row>
    <row r="282" spans="1:3" x14ac:dyDescent="0.1">
      <c r="A282" s="1" t="s">
        <v>657</v>
      </c>
      <c r="B282" s="1" t="s">
        <v>609</v>
      </c>
      <c r="C282" s="1" t="s">
        <v>658</v>
      </c>
    </row>
    <row r="283" spans="1:3" x14ac:dyDescent="0.1">
      <c r="A283" s="1" t="s">
        <v>659</v>
      </c>
      <c r="B283" s="1" t="s">
        <v>609</v>
      </c>
      <c r="C283" s="1" t="s">
        <v>660</v>
      </c>
    </row>
    <row r="284" spans="1:3" x14ac:dyDescent="0.1">
      <c r="A284" s="1" t="s">
        <v>661</v>
      </c>
      <c r="B284" s="1" t="s">
        <v>609</v>
      </c>
      <c r="C284" s="1" t="s">
        <v>662</v>
      </c>
    </row>
    <row r="285" spans="1:3" x14ac:dyDescent="0.1">
      <c r="A285" s="1" t="s">
        <v>663</v>
      </c>
      <c r="B285" s="1" t="s">
        <v>609</v>
      </c>
      <c r="C285" s="1" t="s">
        <v>664</v>
      </c>
    </row>
    <row r="286" spans="1:3" x14ac:dyDescent="0.1">
      <c r="A286" s="1" t="s">
        <v>665</v>
      </c>
      <c r="B286" s="1" t="s">
        <v>609</v>
      </c>
      <c r="C286" s="1" t="s">
        <v>666</v>
      </c>
    </row>
    <row r="287" spans="1:3" x14ac:dyDescent="0.1">
      <c r="A287" s="1" t="s">
        <v>667</v>
      </c>
      <c r="B287" s="1" t="s">
        <v>609</v>
      </c>
      <c r="C287" s="1" t="s">
        <v>668</v>
      </c>
    </row>
    <row r="288" spans="1:3" x14ac:dyDescent="0.1">
      <c r="A288" s="1" t="s">
        <v>669</v>
      </c>
      <c r="B288" s="1" t="s">
        <v>609</v>
      </c>
      <c r="C288" s="1" t="s">
        <v>670</v>
      </c>
    </row>
    <row r="289" spans="1:3" x14ac:dyDescent="0.1">
      <c r="A289" s="1" t="s">
        <v>671</v>
      </c>
      <c r="B289" s="1" t="s">
        <v>609</v>
      </c>
      <c r="C289" s="1" t="s">
        <v>672</v>
      </c>
    </row>
    <row r="290" spans="1:3" x14ac:dyDescent="0.1">
      <c r="A290" s="1" t="s">
        <v>673</v>
      </c>
      <c r="B290" s="1" t="s">
        <v>609</v>
      </c>
      <c r="C290" s="1" t="s">
        <v>674</v>
      </c>
    </row>
    <row r="291" spans="1:3" x14ac:dyDescent="0.1">
      <c r="A291" s="1" t="s">
        <v>675</v>
      </c>
      <c r="B291" s="1" t="s">
        <v>609</v>
      </c>
      <c r="C291" s="1" t="s">
        <v>676</v>
      </c>
    </row>
    <row r="292" spans="1:3" x14ac:dyDescent="0.1">
      <c r="A292" s="1" t="s">
        <v>677</v>
      </c>
      <c r="B292" s="1" t="s">
        <v>609</v>
      </c>
      <c r="C292" s="1" t="s">
        <v>678</v>
      </c>
    </row>
    <row r="293" spans="1:3" x14ac:dyDescent="0.1">
      <c r="A293" s="5" t="s">
        <v>679</v>
      </c>
      <c r="B293" s="5" t="s">
        <v>680</v>
      </c>
      <c r="C293" s="2"/>
    </row>
    <row r="294" spans="1:3" x14ac:dyDescent="0.1">
      <c r="A294" s="1" t="s">
        <v>681</v>
      </c>
      <c r="B294" s="1" t="s">
        <v>680</v>
      </c>
      <c r="C294" s="1" t="s">
        <v>682</v>
      </c>
    </row>
    <row r="295" spans="1:3" x14ac:dyDescent="0.1">
      <c r="A295" s="1" t="s">
        <v>683</v>
      </c>
      <c r="B295" s="1" t="s">
        <v>680</v>
      </c>
      <c r="C295" s="1" t="s">
        <v>684</v>
      </c>
    </row>
    <row r="296" spans="1:3" x14ac:dyDescent="0.1">
      <c r="A296" s="1" t="s">
        <v>685</v>
      </c>
      <c r="B296" s="1" t="s">
        <v>680</v>
      </c>
      <c r="C296" s="1" t="s">
        <v>686</v>
      </c>
    </row>
    <row r="297" spans="1:3" x14ac:dyDescent="0.1">
      <c r="A297" s="1" t="s">
        <v>687</v>
      </c>
      <c r="B297" s="1" t="s">
        <v>680</v>
      </c>
      <c r="C297" s="1" t="s">
        <v>688</v>
      </c>
    </row>
    <row r="298" spans="1:3" x14ac:dyDescent="0.1">
      <c r="A298" s="1" t="s">
        <v>689</v>
      </c>
      <c r="B298" s="1" t="s">
        <v>680</v>
      </c>
      <c r="C298" s="1" t="s">
        <v>690</v>
      </c>
    </row>
    <row r="299" spans="1:3" x14ac:dyDescent="0.1">
      <c r="A299" s="1" t="s">
        <v>691</v>
      </c>
      <c r="B299" s="1" t="s">
        <v>680</v>
      </c>
      <c r="C299" s="1" t="s">
        <v>692</v>
      </c>
    </row>
    <row r="300" spans="1:3" x14ac:dyDescent="0.1">
      <c r="A300" s="1" t="s">
        <v>693</v>
      </c>
      <c r="B300" s="1" t="s">
        <v>680</v>
      </c>
      <c r="C300" s="1" t="s">
        <v>694</v>
      </c>
    </row>
    <row r="301" spans="1:3" x14ac:dyDescent="0.1">
      <c r="A301" s="1" t="s">
        <v>695</v>
      </c>
      <c r="B301" s="1" t="s">
        <v>680</v>
      </c>
      <c r="C301" s="1" t="s">
        <v>696</v>
      </c>
    </row>
    <row r="302" spans="1:3" x14ac:dyDescent="0.1">
      <c r="A302" s="1" t="s">
        <v>697</v>
      </c>
      <c r="B302" s="1" t="s">
        <v>680</v>
      </c>
      <c r="C302" s="1" t="s">
        <v>698</v>
      </c>
    </row>
    <row r="303" spans="1:3" x14ac:dyDescent="0.1">
      <c r="A303" s="1" t="s">
        <v>699</v>
      </c>
      <c r="B303" s="1" t="s">
        <v>680</v>
      </c>
      <c r="C303" s="1" t="s">
        <v>700</v>
      </c>
    </row>
    <row r="304" spans="1:3" x14ac:dyDescent="0.1">
      <c r="A304" s="1" t="s">
        <v>701</v>
      </c>
      <c r="B304" s="1" t="s">
        <v>680</v>
      </c>
      <c r="C304" s="1" t="s">
        <v>702</v>
      </c>
    </row>
    <row r="305" spans="1:3" x14ac:dyDescent="0.1">
      <c r="A305" s="1" t="s">
        <v>703</v>
      </c>
      <c r="B305" s="1" t="s">
        <v>680</v>
      </c>
      <c r="C305" s="1" t="s">
        <v>704</v>
      </c>
    </row>
    <row r="306" spans="1:3" x14ac:dyDescent="0.1">
      <c r="A306" s="1" t="s">
        <v>705</v>
      </c>
      <c r="B306" s="1" t="s">
        <v>680</v>
      </c>
      <c r="C306" s="1" t="s">
        <v>706</v>
      </c>
    </row>
    <row r="307" spans="1:3" x14ac:dyDescent="0.1">
      <c r="A307" s="1" t="s">
        <v>707</v>
      </c>
      <c r="B307" s="1" t="s">
        <v>680</v>
      </c>
      <c r="C307" s="1" t="s">
        <v>708</v>
      </c>
    </row>
    <row r="308" spans="1:3" x14ac:dyDescent="0.1">
      <c r="A308" s="1" t="s">
        <v>709</v>
      </c>
      <c r="B308" s="1" t="s">
        <v>680</v>
      </c>
      <c r="C308" s="1" t="s">
        <v>710</v>
      </c>
    </row>
    <row r="309" spans="1:3" x14ac:dyDescent="0.1">
      <c r="A309" s="1" t="s">
        <v>711</v>
      </c>
      <c r="B309" s="1" t="s">
        <v>680</v>
      </c>
      <c r="C309" s="1" t="s">
        <v>712</v>
      </c>
    </row>
    <row r="310" spans="1:3" x14ac:dyDescent="0.1">
      <c r="A310" s="1" t="s">
        <v>713</v>
      </c>
      <c r="B310" s="1" t="s">
        <v>680</v>
      </c>
      <c r="C310" s="1" t="s">
        <v>714</v>
      </c>
    </row>
    <row r="311" spans="1:3" x14ac:dyDescent="0.1">
      <c r="A311" s="1" t="s">
        <v>715</v>
      </c>
      <c r="B311" s="1" t="s">
        <v>680</v>
      </c>
      <c r="C311" s="1" t="s">
        <v>716</v>
      </c>
    </row>
    <row r="312" spans="1:3" x14ac:dyDescent="0.1">
      <c r="A312" s="1" t="s">
        <v>717</v>
      </c>
      <c r="B312" s="1" t="s">
        <v>680</v>
      </c>
      <c r="C312" s="1" t="s">
        <v>718</v>
      </c>
    </row>
    <row r="313" spans="1:3" x14ac:dyDescent="0.1">
      <c r="A313" s="1" t="s">
        <v>719</v>
      </c>
      <c r="B313" s="1" t="s">
        <v>680</v>
      </c>
      <c r="C313" s="1" t="s">
        <v>720</v>
      </c>
    </row>
    <row r="314" spans="1:3" x14ac:dyDescent="0.1">
      <c r="A314" s="1" t="s">
        <v>721</v>
      </c>
      <c r="B314" s="1" t="s">
        <v>680</v>
      </c>
      <c r="C314" s="1" t="s">
        <v>722</v>
      </c>
    </row>
    <row r="315" spans="1:3" x14ac:dyDescent="0.1">
      <c r="A315" s="1" t="s">
        <v>723</v>
      </c>
      <c r="B315" s="1" t="s">
        <v>680</v>
      </c>
      <c r="C315" s="1" t="s">
        <v>724</v>
      </c>
    </row>
    <row r="316" spans="1:3" x14ac:dyDescent="0.1">
      <c r="A316" s="1" t="s">
        <v>725</v>
      </c>
      <c r="B316" s="1" t="s">
        <v>680</v>
      </c>
      <c r="C316" s="1" t="s">
        <v>726</v>
      </c>
    </row>
    <row r="317" spans="1:3" x14ac:dyDescent="0.1">
      <c r="A317" s="1" t="s">
        <v>727</v>
      </c>
      <c r="B317" s="1" t="s">
        <v>680</v>
      </c>
      <c r="C317" s="1" t="s">
        <v>728</v>
      </c>
    </row>
    <row r="318" spans="1:3" x14ac:dyDescent="0.1">
      <c r="A318" s="1" t="s">
        <v>729</v>
      </c>
      <c r="B318" s="1" t="s">
        <v>680</v>
      </c>
      <c r="C318" s="1" t="s">
        <v>730</v>
      </c>
    </row>
    <row r="319" spans="1:3" x14ac:dyDescent="0.1">
      <c r="A319" s="5" t="s">
        <v>731</v>
      </c>
      <c r="B319" s="5" t="s">
        <v>732</v>
      </c>
      <c r="C319" s="2"/>
    </row>
    <row r="320" spans="1:3" x14ac:dyDescent="0.1">
      <c r="A320" s="1" t="s">
        <v>733</v>
      </c>
      <c r="B320" s="1" t="s">
        <v>732</v>
      </c>
      <c r="C320" s="1" t="s">
        <v>734</v>
      </c>
    </row>
    <row r="321" spans="1:3" x14ac:dyDescent="0.1">
      <c r="A321" s="1" t="s">
        <v>735</v>
      </c>
      <c r="B321" s="1" t="s">
        <v>732</v>
      </c>
      <c r="C321" s="1" t="s">
        <v>736</v>
      </c>
    </row>
    <row r="322" spans="1:3" x14ac:dyDescent="0.1">
      <c r="A322" s="1" t="s">
        <v>737</v>
      </c>
      <c r="B322" s="1" t="s">
        <v>732</v>
      </c>
      <c r="C322" s="1" t="s">
        <v>738</v>
      </c>
    </row>
    <row r="323" spans="1:3" x14ac:dyDescent="0.1">
      <c r="A323" s="1" t="s">
        <v>739</v>
      </c>
      <c r="B323" s="1" t="s">
        <v>732</v>
      </c>
      <c r="C323" s="1" t="s">
        <v>740</v>
      </c>
    </row>
    <row r="324" spans="1:3" x14ac:dyDescent="0.1">
      <c r="A324" s="1" t="s">
        <v>741</v>
      </c>
      <c r="B324" s="1" t="s">
        <v>732</v>
      </c>
      <c r="C324" s="1" t="s">
        <v>742</v>
      </c>
    </row>
    <row r="325" spans="1:3" x14ac:dyDescent="0.1">
      <c r="A325" s="1" t="s">
        <v>743</v>
      </c>
      <c r="B325" s="1" t="s">
        <v>732</v>
      </c>
      <c r="C325" s="1" t="s">
        <v>744</v>
      </c>
    </row>
    <row r="326" spans="1:3" x14ac:dyDescent="0.1">
      <c r="A326" s="1" t="s">
        <v>745</v>
      </c>
      <c r="B326" s="1" t="s">
        <v>732</v>
      </c>
      <c r="C326" s="1" t="s">
        <v>746</v>
      </c>
    </row>
    <row r="327" spans="1:3" x14ac:dyDescent="0.1">
      <c r="A327" s="1" t="s">
        <v>747</v>
      </c>
      <c r="B327" s="1" t="s">
        <v>732</v>
      </c>
      <c r="C327" s="1" t="s">
        <v>748</v>
      </c>
    </row>
    <row r="328" spans="1:3" x14ac:dyDescent="0.1">
      <c r="A328" s="1" t="s">
        <v>749</v>
      </c>
      <c r="B328" s="1" t="s">
        <v>732</v>
      </c>
      <c r="C328" s="1" t="s">
        <v>750</v>
      </c>
    </row>
    <row r="329" spans="1:3" x14ac:dyDescent="0.1">
      <c r="A329" s="1" t="s">
        <v>751</v>
      </c>
      <c r="B329" s="1" t="s">
        <v>732</v>
      </c>
      <c r="C329" s="1" t="s">
        <v>752</v>
      </c>
    </row>
    <row r="330" spans="1:3" x14ac:dyDescent="0.1">
      <c r="A330" s="1" t="s">
        <v>753</v>
      </c>
      <c r="B330" s="1" t="s">
        <v>732</v>
      </c>
      <c r="C330" s="1" t="s">
        <v>754</v>
      </c>
    </row>
    <row r="331" spans="1:3" x14ac:dyDescent="0.1">
      <c r="A331" s="1" t="s">
        <v>755</v>
      </c>
      <c r="B331" s="1" t="s">
        <v>732</v>
      </c>
      <c r="C331" s="1" t="s">
        <v>756</v>
      </c>
    </row>
    <row r="332" spans="1:3" x14ac:dyDescent="0.1">
      <c r="A332" s="1" t="s">
        <v>757</v>
      </c>
      <c r="B332" s="1" t="s">
        <v>732</v>
      </c>
      <c r="C332" s="1" t="s">
        <v>758</v>
      </c>
    </row>
    <row r="333" spans="1:3" x14ac:dyDescent="0.1">
      <c r="A333" s="1" t="s">
        <v>759</v>
      </c>
      <c r="B333" s="1" t="s">
        <v>732</v>
      </c>
      <c r="C333" s="1" t="s">
        <v>760</v>
      </c>
    </row>
    <row r="334" spans="1:3" x14ac:dyDescent="0.1">
      <c r="A334" s="1" t="s">
        <v>761</v>
      </c>
      <c r="B334" s="1" t="s">
        <v>732</v>
      </c>
      <c r="C334" s="1" t="s">
        <v>762</v>
      </c>
    </row>
    <row r="335" spans="1:3" x14ac:dyDescent="0.1">
      <c r="A335" s="1" t="s">
        <v>763</v>
      </c>
      <c r="B335" s="1" t="s">
        <v>732</v>
      </c>
      <c r="C335" s="1" t="s">
        <v>764</v>
      </c>
    </row>
    <row r="336" spans="1:3" x14ac:dyDescent="0.1">
      <c r="A336" s="1" t="s">
        <v>765</v>
      </c>
      <c r="B336" s="1" t="s">
        <v>732</v>
      </c>
      <c r="C336" s="1" t="s">
        <v>766</v>
      </c>
    </row>
    <row r="337" spans="1:3" x14ac:dyDescent="0.1">
      <c r="A337" s="1" t="s">
        <v>767</v>
      </c>
      <c r="B337" s="1" t="s">
        <v>732</v>
      </c>
      <c r="C337" s="1" t="s">
        <v>768</v>
      </c>
    </row>
    <row r="338" spans="1:3" x14ac:dyDescent="0.1">
      <c r="A338" s="1" t="s">
        <v>769</v>
      </c>
      <c r="B338" s="1" t="s">
        <v>732</v>
      </c>
      <c r="C338" s="1" t="s">
        <v>770</v>
      </c>
    </row>
    <row r="339" spans="1:3" x14ac:dyDescent="0.1">
      <c r="A339" s="1" t="s">
        <v>771</v>
      </c>
      <c r="B339" s="1" t="s">
        <v>732</v>
      </c>
      <c r="C339" s="1" t="s">
        <v>772</v>
      </c>
    </row>
    <row r="340" spans="1:3" x14ac:dyDescent="0.1">
      <c r="A340" s="1" t="s">
        <v>773</v>
      </c>
      <c r="B340" s="1" t="s">
        <v>732</v>
      </c>
      <c r="C340" s="1" t="s">
        <v>774</v>
      </c>
    </row>
    <row r="341" spans="1:3" x14ac:dyDescent="0.1">
      <c r="A341" s="1" t="s">
        <v>775</v>
      </c>
      <c r="B341" s="1" t="s">
        <v>732</v>
      </c>
      <c r="C341" s="1" t="s">
        <v>776</v>
      </c>
    </row>
    <row r="342" spans="1:3" x14ac:dyDescent="0.1">
      <c r="A342" s="1" t="s">
        <v>777</v>
      </c>
      <c r="B342" s="1" t="s">
        <v>732</v>
      </c>
      <c r="C342" s="1" t="s">
        <v>778</v>
      </c>
    </row>
    <row r="343" spans="1:3" x14ac:dyDescent="0.1">
      <c r="A343" s="1" t="s">
        <v>779</v>
      </c>
      <c r="B343" s="1" t="s">
        <v>732</v>
      </c>
      <c r="C343" s="1" t="s">
        <v>780</v>
      </c>
    </row>
    <row r="344" spans="1:3" x14ac:dyDescent="0.1">
      <c r="A344" s="1" t="s">
        <v>781</v>
      </c>
      <c r="B344" s="1" t="s">
        <v>732</v>
      </c>
      <c r="C344" s="1" t="s">
        <v>782</v>
      </c>
    </row>
    <row r="345" spans="1:3" x14ac:dyDescent="0.1">
      <c r="A345" s="1" t="s">
        <v>783</v>
      </c>
      <c r="B345" s="1" t="s">
        <v>732</v>
      </c>
      <c r="C345" s="1" t="s">
        <v>784</v>
      </c>
    </row>
    <row r="346" spans="1:3" x14ac:dyDescent="0.1">
      <c r="A346" s="1" t="s">
        <v>785</v>
      </c>
      <c r="B346" s="1" t="s">
        <v>732</v>
      </c>
      <c r="C346" s="1" t="s">
        <v>786</v>
      </c>
    </row>
    <row r="347" spans="1:3" x14ac:dyDescent="0.1">
      <c r="A347" s="1" t="s">
        <v>787</v>
      </c>
      <c r="B347" s="1" t="s">
        <v>732</v>
      </c>
      <c r="C347" s="1" t="s">
        <v>788</v>
      </c>
    </row>
    <row r="348" spans="1:3" x14ac:dyDescent="0.1">
      <c r="A348" s="1" t="s">
        <v>789</v>
      </c>
      <c r="B348" s="1" t="s">
        <v>732</v>
      </c>
      <c r="C348" s="1" t="s">
        <v>790</v>
      </c>
    </row>
    <row r="349" spans="1:3" x14ac:dyDescent="0.1">
      <c r="A349" s="1" t="s">
        <v>791</v>
      </c>
      <c r="B349" s="1" t="s">
        <v>732</v>
      </c>
      <c r="C349" s="1" t="s">
        <v>792</v>
      </c>
    </row>
    <row r="350" spans="1:3" x14ac:dyDescent="0.1">
      <c r="A350" s="1" t="s">
        <v>793</v>
      </c>
      <c r="B350" s="1" t="s">
        <v>732</v>
      </c>
      <c r="C350" s="1" t="s">
        <v>794</v>
      </c>
    </row>
    <row r="351" spans="1:3" x14ac:dyDescent="0.1">
      <c r="A351" s="1" t="s">
        <v>795</v>
      </c>
      <c r="B351" s="1" t="s">
        <v>732</v>
      </c>
      <c r="C351" s="1" t="s">
        <v>796</v>
      </c>
    </row>
    <row r="352" spans="1:3" x14ac:dyDescent="0.1">
      <c r="A352" s="1" t="s">
        <v>797</v>
      </c>
      <c r="B352" s="1" t="s">
        <v>732</v>
      </c>
      <c r="C352" s="1" t="s">
        <v>798</v>
      </c>
    </row>
    <row r="353" spans="1:3" x14ac:dyDescent="0.1">
      <c r="A353" s="1" t="s">
        <v>799</v>
      </c>
      <c r="B353" s="1" t="s">
        <v>732</v>
      </c>
      <c r="C353" s="1" t="s">
        <v>800</v>
      </c>
    </row>
    <row r="354" spans="1:3" x14ac:dyDescent="0.1">
      <c r="A354" s="1" t="s">
        <v>801</v>
      </c>
      <c r="B354" s="1" t="s">
        <v>732</v>
      </c>
      <c r="C354" s="1" t="s">
        <v>802</v>
      </c>
    </row>
    <row r="355" spans="1:3" x14ac:dyDescent="0.1">
      <c r="A355" s="5" t="s">
        <v>803</v>
      </c>
      <c r="B355" s="5" t="s">
        <v>804</v>
      </c>
      <c r="C355" s="2"/>
    </row>
    <row r="356" spans="1:3" x14ac:dyDescent="0.1">
      <c r="A356" s="1" t="s">
        <v>805</v>
      </c>
      <c r="B356" s="1" t="s">
        <v>804</v>
      </c>
      <c r="C356" s="1" t="s">
        <v>806</v>
      </c>
    </row>
    <row r="357" spans="1:3" x14ac:dyDescent="0.1">
      <c r="A357" s="1" t="s">
        <v>807</v>
      </c>
      <c r="B357" s="1" t="s">
        <v>804</v>
      </c>
      <c r="C357" s="1" t="s">
        <v>808</v>
      </c>
    </row>
    <row r="358" spans="1:3" x14ac:dyDescent="0.1">
      <c r="A358" s="1" t="s">
        <v>809</v>
      </c>
      <c r="B358" s="1" t="s">
        <v>804</v>
      </c>
      <c r="C358" s="1" t="s">
        <v>810</v>
      </c>
    </row>
    <row r="359" spans="1:3" x14ac:dyDescent="0.1">
      <c r="A359" s="1" t="s">
        <v>811</v>
      </c>
      <c r="B359" s="1" t="s">
        <v>804</v>
      </c>
      <c r="C359" s="1" t="s">
        <v>812</v>
      </c>
    </row>
    <row r="360" spans="1:3" x14ac:dyDescent="0.1">
      <c r="A360" s="1" t="s">
        <v>813</v>
      </c>
      <c r="B360" s="1" t="s">
        <v>804</v>
      </c>
      <c r="C360" s="1" t="s">
        <v>814</v>
      </c>
    </row>
    <row r="361" spans="1:3" x14ac:dyDescent="0.1">
      <c r="A361" s="1" t="s">
        <v>815</v>
      </c>
      <c r="B361" s="1" t="s">
        <v>804</v>
      </c>
      <c r="C361" s="1" t="s">
        <v>816</v>
      </c>
    </row>
    <row r="362" spans="1:3" x14ac:dyDescent="0.1">
      <c r="A362" s="1" t="s">
        <v>817</v>
      </c>
      <c r="B362" s="1" t="s">
        <v>804</v>
      </c>
      <c r="C362" s="1" t="s">
        <v>818</v>
      </c>
    </row>
    <row r="363" spans="1:3" x14ac:dyDescent="0.1">
      <c r="A363" s="1" t="s">
        <v>819</v>
      </c>
      <c r="B363" s="1" t="s">
        <v>804</v>
      </c>
      <c r="C363" s="1" t="s">
        <v>820</v>
      </c>
    </row>
    <row r="364" spans="1:3" x14ac:dyDescent="0.1">
      <c r="A364" s="1" t="s">
        <v>821</v>
      </c>
      <c r="B364" s="1" t="s">
        <v>804</v>
      </c>
      <c r="C364" s="1" t="s">
        <v>822</v>
      </c>
    </row>
    <row r="365" spans="1:3" x14ac:dyDescent="0.1">
      <c r="A365" s="1" t="s">
        <v>823</v>
      </c>
      <c r="B365" s="1" t="s">
        <v>804</v>
      </c>
      <c r="C365" s="1" t="s">
        <v>824</v>
      </c>
    </row>
    <row r="366" spans="1:3" x14ac:dyDescent="0.1">
      <c r="A366" s="1" t="s">
        <v>825</v>
      </c>
      <c r="B366" s="1" t="s">
        <v>804</v>
      </c>
      <c r="C366" s="1" t="s">
        <v>826</v>
      </c>
    </row>
    <row r="367" spans="1:3" x14ac:dyDescent="0.1">
      <c r="A367" s="1" t="s">
        <v>827</v>
      </c>
      <c r="B367" s="1" t="s">
        <v>804</v>
      </c>
      <c r="C367" s="1" t="s">
        <v>165</v>
      </c>
    </row>
    <row r="368" spans="1:3" x14ac:dyDescent="0.1">
      <c r="A368" s="1" t="s">
        <v>828</v>
      </c>
      <c r="B368" s="1" t="s">
        <v>804</v>
      </c>
      <c r="C368" s="1" t="s">
        <v>829</v>
      </c>
    </row>
    <row r="369" spans="1:3" x14ac:dyDescent="0.1">
      <c r="A369" s="1" t="s">
        <v>830</v>
      </c>
      <c r="B369" s="1" t="s">
        <v>804</v>
      </c>
      <c r="C369" s="1" t="s">
        <v>831</v>
      </c>
    </row>
    <row r="370" spans="1:3" x14ac:dyDescent="0.1">
      <c r="A370" s="1" t="s">
        <v>832</v>
      </c>
      <c r="B370" s="1" t="s">
        <v>804</v>
      </c>
      <c r="C370" s="1" t="s">
        <v>833</v>
      </c>
    </row>
    <row r="371" spans="1:3" x14ac:dyDescent="0.1">
      <c r="A371" s="1" t="s">
        <v>834</v>
      </c>
      <c r="B371" s="1" t="s">
        <v>804</v>
      </c>
      <c r="C371" s="1" t="s">
        <v>835</v>
      </c>
    </row>
    <row r="372" spans="1:3" x14ac:dyDescent="0.1">
      <c r="A372" s="1" t="s">
        <v>836</v>
      </c>
      <c r="B372" s="1" t="s">
        <v>804</v>
      </c>
      <c r="C372" s="1" t="s">
        <v>837</v>
      </c>
    </row>
    <row r="373" spans="1:3" x14ac:dyDescent="0.1">
      <c r="A373" s="1" t="s">
        <v>838</v>
      </c>
      <c r="B373" s="1" t="s">
        <v>804</v>
      </c>
      <c r="C373" s="1" t="s">
        <v>839</v>
      </c>
    </row>
    <row r="374" spans="1:3" x14ac:dyDescent="0.1">
      <c r="A374" s="1" t="s">
        <v>840</v>
      </c>
      <c r="B374" s="1" t="s">
        <v>804</v>
      </c>
      <c r="C374" s="1" t="s">
        <v>841</v>
      </c>
    </row>
    <row r="375" spans="1:3" x14ac:dyDescent="0.1">
      <c r="A375" s="1" t="s">
        <v>842</v>
      </c>
      <c r="B375" s="1" t="s">
        <v>804</v>
      </c>
      <c r="C375" s="1" t="s">
        <v>843</v>
      </c>
    </row>
    <row r="376" spans="1:3" x14ac:dyDescent="0.1">
      <c r="A376" s="1" t="s">
        <v>844</v>
      </c>
      <c r="B376" s="1" t="s">
        <v>804</v>
      </c>
      <c r="C376" s="1" t="s">
        <v>845</v>
      </c>
    </row>
    <row r="377" spans="1:3" x14ac:dyDescent="0.1">
      <c r="A377" s="1" t="s">
        <v>846</v>
      </c>
      <c r="B377" s="1" t="s">
        <v>804</v>
      </c>
      <c r="C377" s="1" t="s">
        <v>847</v>
      </c>
    </row>
    <row r="378" spans="1:3" x14ac:dyDescent="0.1">
      <c r="A378" s="1" t="s">
        <v>848</v>
      </c>
      <c r="B378" s="1" t="s">
        <v>804</v>
      </c>
      <c r="C378" s="1" t="s">
        <v>849</v>
      </c>
    </row>
    <row r="379" spans="1:3" x14ac:dyDescent="0.1">
      <c r="A379" s="1" t="s">
        <v>850</v>
      </c>
      <c r="B379" s="1" t="s">
        <v>804</v>
      </c>
      <c r="C379" s="1" t="s">
        <v>851</v>
      </c>
    </row>
    <row r="380" spans="1:3" x14ac:dyDescent="0.1">
      <c r="A380" s="1" t="s">
        <v>852</v>
      </c>
      <c r="B380" s="1" t="s">
        <v>804</v>
      </c>
      <c r="C380" s="1" t="s">
        <v>853</v>
      </c>
    </row>
    <row r="381" spans="1:3" x14ac:dyDescent="0.1">
      <c r="A381" s="1" t="s">
        <v>854</v>
      </c>
      <c r="B381" s="1" t="s">
        <v>804</v>
      </c>
      <c r="C381" s="1" t="s">
        <v>855</v>
      </c>
    </row>
    <row r="382" spans="1:3" x14ac:dyDescent="0.1">
      <c r="A382" s="1" t="s">
        <v>856</v>
      </c>
      <c r="B382" s="1" t="s">
        <v>804</v>
      </c>
      <c r="C382" s="1" t="s">
        <v>857</v>
      </c>
    </row>
    <row r="383" spans="1:3" x14ac:dyDescent="0.1">
      <c r="A383" s="1" t="s">
        <v>858</v>
      </c>
      <c r="B383" s="1" t="s">
        <v>804</v>
      </c>
      <c r="C383" s="1" t="s">
        <v>859</v>
      </c>
    </row>
    <row r="384" spans="1:3" x14ac:dyDescent="0.1">
      <c r="A384" s="1" t="s">
        <v>860</v>
      </c>
      <c r="B384" s="1" t="s">
        <v>804</v>
      </c>
      <c r="C384" s="1" t="s">
        <v>861</v>
      </c>
    </row>
    <row r="385" spans="1:3" x14ac:dyDescent="0.1">
      <c r="A385" s="1" t="s">
        <v>862</v>
      </c>
      <c r="B385" s="1" t="s">
        <v>804</v>
      </c>
      <c r="C385" s="1" t="s">
        <v>863</v>
      </c>
    </row>
    <row r="386" spans="1:3" x14ac:dyDescent="0.1">
      <c r="A386" s="1" t="s">
        <v>864</v>
      </c>
      <c r="B386" s="1" t="s">
        <v>804</v>
      </c>
      <c r="C386" s="1" t="s">
        <v>865</v>
      </c>
    </row>
    <row r="387" spans="1:3" x14ac:dyDescent="0.1">
      <c r="A387" s="1" t="s">
        <v>866</v>
      </c>
      <c r="B387" s="1" t="s">
        <v>804</v>
      </c>
      <c r="C387" s="1" t="s">
        <v>774</v>
      </c>
    </row>
    <row r="388" spans="1:3" x14ac:dyDescent="0.1">
      <c r="A388" s="1" t="s">
        <v>867</v>
      </c>
      <c r="B388" s="1" t="s">
        <v>804</v>
      </c>
      <c r="C388" s="1" t="s">
        <v>868</v>
      </c>
    </row>
    <row r="389" spans="1:3" x14ac:dyDescent="0.1">
      <c r="A389" s="1" t="s">
        <v>869</v>
      </c>
      <c r="B389" s="1" t="s">
        <v>804</v>
      </c>
      <c r="C389" s="1" t="s">
        <v>870</v>
      </c>
    </row>
    <row r="390" spans="1:3" x14ac:dyDescent="0.1">
      <c r="A390" s="1" t="s">
        <v>871</v>
      </c>
      <c r="B390" s="1" t="s">
        <v>804</v>
      </c>
      <c r="C390" s="1" t="s">
        <v>872</v>
      </c>
    </row>
    <row r="391" spans="1:3" x14ac:dyDescent="0.1">
      <c r="A391" s="1" t="s">
        <v>873</v>
      </c>
      <c r="B391" s="1" t="s">
        <v>804</v>
      </c>
      <c r="C391" s="1" t="s">
        <v>874</v>
      </c>
    </row>
    <row r="392" spans="1:3" x14ac:dyDescent="0.1">
      <c r="A392" s="1" t="s">
        <v>875</v>
      </c>
      <c r="B392" s="1" t="s">
        <v>804</v>
      </c>
      <c r="C392" s="1" t="s">
        <v>876</v>
      </c>
    </row>
    <row r="393" spans="1:3" x14ac:dyDescent="0.1">
      <c r="A393" s="1" t="s">
        <v>877</v>
      </c>
      <c r="B393" s="1" t="s">
        <v>804</v>
      </c>
      <c r="C393" s="1" t="s">
        <v>878</v>
      </c>
    </row>
    <row r="394" spans="1:3" x14ac:dyDescent="0.1">
      <c r="A394" s="1" t="s">
        <v>879</v>
      </c>
      <c r="B394" s="1" t="s">
        <v>804</v>
      </c>
      <c r="C394" s="1" t="s">
        <v>880</v>
      </c>
    </row>
    <row r="395" spans="1:3" x14ac:dyDescent="0.1">
      <c r="A395" s="1" t="s">
        <v>881</v>
      </c>
      <c r="B395" s="1" t="s">
        <v>804</v>
      </c>
      <c r="C395" s="1" t="s">
        <v>882</v>
      </c>
    </row>
    <row r="396" spans="1:3" x14ac:dyDescent="0.1">
      <c r="A396" s="1" t="s">
        <v>883</v>
      </c>
      <c r="B396" s="1" t="s">
        <v>804</v>
      </c>
      <c r="C396" s="1" t="s">
        <v>884</v>
      </c>
    </row>
    <row r="397" spans="1:3" x14ac:dyDescent="0.1">
      <c r="A397" s="1" t="s">
        <v>885</v>
      </c>
      <c r="B397" s="1" t="s">
        <v>804</v>
      </c>
      <c r="C397" s="1" t="s">
        <v>886</v>
      </c>
    </row>
    <row r="398" spans="1:3" x14ac:dyDescent="0.1">
      <c r="A398" s="1" t="s">
        <v>887</v>
      </c>
      <c r="B398" s="1" t="s">
        <v>804</v>
      </c>
      <c r="C398" s="1" t="s">
        <v>888</v>
      </c>
    </row>
    <row r="399" spans="1:3" x14ac:dyDescent="0.1">
      <c r="A399" s="1" t="s">
        <v>889</v>
      </c>
      <c r="B399" s="1" t="s">
        <v>804</v>
      </c>
      <c r="C399" s="1" t="s">
        <v>890</v>
      </c>
    </row>
    <row r="400" spans="1:3" x14ac:dyDescent="0.1">
      <c r="A400" s="1" t="s">
        <v>891</v>
      </c>
      <c r="B400" s="1" t="s">
        <v>804</v>
      </c>
      <c r="C400" s="1" t="s">
        <v>892</v>
      </c>
    </row>
    <row r="401" spans="1:3" x14ac:dyDescent="0.1">
      <c r="A401" s="1" t="s">
        <v>893</v>
      </c>
      <c r="B401" s="1" t="s">
        <v>804</v>
      </c>
      <c r="C401" s="1" t="s">
        <v>894</v>
      </c>
    </row>
    <row r="402" spans="1:3" x14ac:dyDescent="0.1">
      <c r="A402" s="1" t="s">
        <v>895</v>
      </c>
      <c r="B402" s="1" t="s">
        <v>804</v>
      </c>
      <c r="C402" s="1" t="s">
        <v>896</v>
      </c>
    </row>
    <row r="403" spans="1:3" x14ac:dyDescent="0.1">
      <c r="A403" s="1" t="s">
        <v>897</v>
      </c>
      <c r="B403" s="1" t="s">
        <v>804</v>
      </c>
      <c r="C403" s="1" t="s">
        <v>898</v>
      </c>
    </row>
    <row r="404" spans="1:3" x14ac:dyDescent="0.1">
      <c r="A404" s="1" t="s">
        <v>899</v>
      </c>
      <c r="B404" s="1" t="s">
        <v>804</v>
      </c>
      <c r="C404" s="1" t="s">
        <v>900</v>
      </c>
    </row>
    <row r="405" spans="1:3" x14ac:dyDescent="0.1">
      <c r="A405" s="1" t="s">
        <v>901</v>
      </c>
      <c r="B405" s="1" t="s">
        <v>804</v>
      </c>
      <c r="C405" s="1" t="s">
        <v>902</v>
      </c>
    </row>
    <row r="406" spans="1:3" x14ac:dyDescent="0.1">
      <c r="A406" s="1" t="s">
        <v>903</v>
      </c>
      <c r="B406" s="1" t="s">
        <v>804</v>
      </c>
      <c r="C406" s="1" t="s">
        <v>904</v>
      </c>
    </row>
    <row r="407" spans="1:3" x14ac:dyDescent="0.1">
      <c r="A407" s="1" t="s">
        <v>905</v>
      </c>
      <c r="B407" s="1" t="s">
        <v>804</v>
      </c>
      <c r="C407" s="1" t="s">
        <v>906</v>
      </c>
    </row>
    <row r="408" spans="1:3" x14ac:dyDescent="0.1">
      <c r="A408" s="1" t="s">
        <v>907</v>
      </c>
      <c r="B408" s="1" t="s">
        <v>804</v>
      </c>
      <c r="C408" s="1" t="s">
        <v>908</v>
      </c>
    </row>
    <row r="409" spans="1:3" x14ac:dyDescent="0.1">
      <c r="A409" s="1" t="s">
        <v>909</v>
      </c>
      <c r="B409" s="1" t="s">
        <v>804</v>
      </c>
      <c r="C409" s="1" t="s">
        <v>910</v>
      </c>
    </row>
    <row r="410" spans="1:3" x14ac:dyDescent="0.1">
      <c r="A410" s="1" t="s">
        <v>911</v>
      </c>
      <c r="B410" s="1" t="s">
        <v>804</v>
      </c>
      <c r="C410" s="1" t="s">
        <v>912</v>
      </c>
    </row>
    <row r="411" spans="1:3" x14ac:dyDescent="0.1">
      <c r="A411" s="1" t="s">
        <v>913</v>
      </c>
      <c r="B411" s="1" t="s">
        <v>804</v>
      </c>
      <c r="C411" s="1" t="s">
        <v>914</v>
      </c>
    </row>
    <row r="412" spans="1:3" x14ac:dyDescent="0.1">
      <c r="A412" s="1" t="s">
        <v>915</v>
      </c>
      <c r="B412" s="1" t="s">
        <v>804</v>
      </c>
      <c r="C412" s="1" t="s">
        <v>916</v>
      </c>
    </row>
    <row r="413" spans="1:3" x14ac:dyDescent="0.1">
      <c r="A413" s="1" t="s">
        <v>917</v>
      </c>
      <c r="B413" s="1" t="s">
        <v>804</v>
      </c>
      <c r="C413" s="1" t="s">
        <v>918</v>
      </c>
    </row>
    <row r="414" spans="1:3" x14ac:dyDescent="0.1">
      <c r="A414" s="1" t="s">
        <v>919</v>
      </c>
      <c r="B414" s="1" t="s">
        <v>804</v>
      </c>
      <c r="C414" s="1" t="s">
        <v>920</v>
      </c>
    </row>
    <row r="415" spans="1:3" x14ac:dyDescent="0.1">
      <c r="A415" s="5" t="s">
        <v>921</v>
      </c>
      <c r="B415" s="5" t="s">
        <v>922</v>
      </c>
      <c r="C415" s="2"/>
    </row>
    <row r="416" spans="1:3" x14ac:dyDescent="0.1">
      <c r="A416" s="1" t="s">
        <v>923</v>
      </c>
      <c r="B416" s="1" t="s">
        <v>922</v>
      </c>
      <c r="C416" s="1" t="s">
        <v>924</v>
      </c>
    </row>
    <row r="417" spans="1:3" x14ac:dyDescent="0.1">
      <c r="A417" s="1" t="s">
        <v>925</v>
      </c>
      <c r="B417" s="1" t="s">
        <v>922</v>
      </c>
      <c r="C417" s="1" t="s">
        <v>926</v>
      </c>
    </row>
    <row r="418" spans="1:3" x14ac:dyDescent="0.1">
      <c r="A418" s="1" t="s">
        <v>927</v>
      </c>
      <c r="B418" s="1" t="s">
        <v>922</v>
      </c>
      <c r="C418" s="1" t="s">
        <v>928</v>
      </c>
    </row>
    <row r="419" spans="1:3" x14ac:dyDescent="0.1">
      <c r="A419" s="1" t="s">
        <v>929</v>
      </c>
      <c r="B419" s="1" t="s">
        <v>922</v>
      </c>
      <c r="C419" s="1" t="s">
        <v>930</v>
      </c>
    </row>
    <row r="420" spans="1:3" x14ac:dyDescent="0.1">
      <c r="A420" s="1" t="s">
        <v>931</v>
      </c>
      <c r="B420" s="1" t="s">
        <v>922</v>
      </c>
      <c r="C420" s="1" t="s">
        <v>932</v>
      </c>
    </row>
    <row r="421" spans="1:3" x14ac:dyDescent="0.1">
      <c r="A421" s="1" t="s">
        <v>933</v>
      </c>
      <c r="B421" s="1" t="s">
        <v>922</v>
      </c>
      <c r="C421" s="1" t="s">
        <v>934</v>
      </c>
    </row>
    <row r="422" spans="1:3" x14ac:dyDescent="0.1">
      <c r="A422" s="1" t="s">
        <v>935</v>
      </c>
      <c r="B422" s="1" t="s">
        <v>922</v>
      </c>
      <c r="C422" s="1" t="s">
        <v>936</v>
      </c>
    </row>
    <row r="423" spans="1:3" x14ac:dyDescent="0.1">
      <c r="A423" s="1" t="s">
        <v>937</v>
      </c>
      <c r="B423" s="1" t="s">
        <v>922</v>
      </c>
      <c r="C423" s="1" t="s">
        <v>938</v>
      </c>
    </row>
    <row r="424" spans="1:3" x14ac:dyDescent="0.1">
      <c r="A424" s="1" t="s">
        <v>939</v>
      </c>
      <c r="B424" s="1" t="s">
        <v>922</v>
      </c>
      <c r="C424" s="1" t="s">
        <v>940</v>
      </c>
    </row>
    <row r="425" spans="1:3" x14ac:dyDescent="0.1">
      <c r="A425" s="1" t="s">
        <v>941</v>
      </c>
      <c r="B425" s="1" t="s">
        <v>922</v>
      </c>
      <c r="C425" s="1" t="s">
        <v>942</v>
      </c>
    </row>
    <row r="426" spans="1:3" x14ac:dyDescent="0.1">
      <c r="A426" s="1" t="s">
        <v>943</v>
      </c>
      <c r="B426" s="1" t="s">
        <v>922</v>
      </c>
      <c r="C426" s="1" t="s">
        <v>944</v>
      </c>
    </row>
    <row r="427" spans="1:3" x14ac:dyDescent="0.1">
      <c r="A427" s="1" t="s">
        <v>945</v>
      </c>
      <c r="B427" s="1" t="s">
        <v>922</v>
      </c>
      <c r="C427" s="1" t="s">
        <v>946</v>
      </c>
    </row>
    <row r="428" spans="1:3" x14ac:dyDescent="0.1">
      <c r="A428" s="1" t="s">
        <v>947</v>
      </c>
      <c r="B428" s="1" t="s">
        <v>922</v>
      </c>
      <c r="C428" s="1" t="s">
        <v>948</v>
      </c>
    </row>
    <row r="429" spans="1:3" x14ac:dyDescent="0.1">
      <c r="A429" s="1" t="s">
        <v>949</v>
      </c>
      <c r="B429" s="1" t="s">
        <v>922</v>
      </c>
      <c r="C429" s="1" t="s">
        <v>950</v>
      </c>
    </row>
    <row r="430" spans="1:3" x14ac:dyDescent="0.1">
      <c r="A430" s="1" t="s">
        <v>951</v>
      </c>
      <c r="B430" s="1" t="s">
        <v>922</v>
      </c>
      <c r="C430" s="1" t="s">
        <v>952</v>
      </c>
    </row>
    <row r="431" spans="1:3" x14ac:dyDescent="0.1">
      <c r="A431" s="1" t="s">
        <v>953</v>
      </c>
      <c r="B431" s="1" t="s">
        <v>922</v>
      </c>
      <c r="C431" s="1" t="s">
        <v>954</v>
      </c>
    </row>
    <row r="432" spans="1:3" x14ac:dyDescent="0.1">
      <c r="A432" s="1" t="s">
        <v>955</v>
      </c>
      <c r="B432" s="1" t="s">
        <v>922</v>
      </c>
      <c r="C432" s="1" t="s">
        <v>956</v>
      </c>
    </row>
    <row r="433" spans="1:3" x14ac:dyDescent="0.1">
      <c r="A433" s="1" t="s">
        <v>957</v>
      </c>
      <c r="B433" s="1" t="s">
        <v>922</v>
      </c>
      <c r="C433" s="1" t="s">
        <v>958</v>
      </c>
    </row>
    <row r="434" spans="1:3" x14ac:dyDescent="0.1">
      <c r="A434" s="1" t="s">
        <v>959</v>
      </c>
      <c r="B434" s="1" t="s">
        <v>922</v>
      </c>
      <c r="C434" s="1" t="s">
        <v>960</v>
      </c>
    </row>
    <row r="435" spans="1:3" x14ac:dyDescent="0.1">
      <c r="A435" s="1" t="s">
        <v>961</v>
      </c>
      <c r="B435" s="1" t="s">
        <v>922</v>
      </c>
      <c r="C435" s="1" t="s">
        <v>962</v>
      </c>
    </row>
    <row r="436" spans="1:3" x14ac:dyDescent="0.1">
      <c r="A436" s="1" t="s">
        <v>963</v>
      </c>
      <c r="B436" s="1" t="s">
        <v>922</v>
      </c>
      <c r="C436" s="1" t="s">
        <v>964</v>
      </c>
    </row>
    <row r="437" spans="1:3" x14ac:dyDescent="0.1">
      <c r="A437" s="1" t="s">
        <v>965</v>
      </c>
      <c r="B437" s="1" t="s">
        <v>922</v>
      </c>
      <c r="C437" s="1" t="s">
        <v>966</v>
      </c>
    </row>
    <row r="438" spans="1:3" x14ac:dyDescent="0.1">
      <c r="A438" s="1" t="s">
        <v>967</v>
      </c>
      <c r="B438" s="1" t="s">
        <v>922</v>
      </c>
      <c r="C438" s="1" t="s">
        <v>968</v>
      </c>
    </row>
    <row r="439" spans="1:3" x14ac:dyDescent="0.1">
      <c r="A439" s="1" t="s">
        <v>969</v>
      </c>
      <c r="B439" s="1" t="s">
        <v>922</v>
      </c>
      <c r="C439" s="1" t="s">
        <v>970</v>
      </c>
    </row>
    <row r="440" spans="1:3" x14ac:dyDescent="0.1">
      <c r="A440" s="1" t="s">
        <v>971</v>
      </c>
      <c r="B440" s="1" t="s">
        <v>922</v>
      </c>
      <c r="C440" s="1" t="s">
        <v>972</v>
      </c>
    </row>
    <row r="441" spans="1:3" x14ac:dyDescent="0.1">
      <c r="A441" s="1" t="s">
        <v>973</v>
      </c>
      <c r="B441" s="1" t="s">
        <v>922</v>
      </c>
      <c r="C441" s="1" t="s">
        <v>974</v>
      </c>
    </row>
    <row r="442" spans="1:3" x14ac:dyDescent="0.1">
      <c r="A442" s="1" t="s">
        <v>975</v>
      </c>
      <c r="B442" s="1" t="s">
        <v>922</v>
      </c>
      <c r="C442" s="1" t="s">
        <v>976</v>
      </c>
    </row>
    <row r="443" spans="1:3" x14ac:dyDescent="0.1">
      <c r="A443" s="1" t="s">
        <v>977</v>
      </c>
      <c r="B443" s="1" t="s">
        <v>922</v>
      </c>
      <c r="C443" s="1" t="s">
        <v>978</v>
      </c>
    </row>
    <row r="444" spans="1:3" x14ac:dyDescent="0.1">
      <c r="A444" s="1" t="s">
        <v>979</v>
      </c>
      <c r="B444" s="1" t="s">
        <v>922</v>
      </c>
      <c r="C444" s="1" t="s">
        <v>980</v>
      </c>
    </row>
    <row r="445" spans="1:3" x14ac:dyDescent="0.1">
      <c r="A445" s="1" t="s">
        <v>981</v>
      </c>
      <c r="B445" s="1" t="s">
        <v>922</v>
      </c>
      <c r="C445" s="1" t="s">
        <v>982</v>
      </c>
    </row>
    <row r="446" spans="1:3" x14ac:dyDescent="0.1">
      <c r="A446" s="1" t="s">
        <v>983</v>
      </c>
      <c r="B446" s="1" t="s">
        <v>922</v>
      </c>
      <c r="C446" s="1" t="s">
        <v>984</v>
      </c>
    </row>
    <row r="447" spans="1:3" x14ac:dyDescent="0.1">
      <c r="A447" s="1" t="s">
        <v>985</v>
      </c>
      <c r="B447" s="1" t="s">
        <v>922</v>
      </c>
      <c r="C447" s="1" t="s">
        <v>986</v>
      </c>
    </row>
    <row r="448" spans="1:3" x14ac:dyDescent="0.1">
      <c r="A448" s="1" t="s">
        <v>987</v>
      </c>
      <c r="B448" s="1" t="s">
        <v>922</v>
      </c>
      <c r="C448" s="1" t="s">
        <v>988</v>
      </c>
    </row>
    <row r="449" spans="1:3" x14ac:dyDescent="0.1">
      <c r="A449" s="1" t="s">
        <v>989</v>
      </c>
      <c r="B449" s="1" t="s">
        <v>922</v>
      </c>
      <c r="C449" s="1" t="s">
        <v>990</v>
      </c>
    </row>
    <row r="450" spans="1:3" x14ac:dyDescent="0.1">
      <c r="A450" s="1" t="s">
        <v>991</v>
      </c>
      <c r="B450" s="1" t="s">
        <v>922</v>
      </c>
      <c r="C450" s="1" t="s">
        <v>992</v>
      </c>
    </row>
    <row r="451" spans="1:3" x14ac:dyDescent="0.1">
      <c r="A451" s="1" t="s">
        <v>993</v>
      </c>
      <c r="B451" s="1" t="s">
        <v>922</v>
      </c>
      <c r="C451" s="1" t="s">
        <v>994</v>
      </c>
    </row>
    <row r="452" spans="1:3" x14ac:dyDescent="0.1">
      <c r="A452" s="1" t="s">
        <v>995</v>
      </c>
      <c r="B452" s="1" t="s">
        <v>922</v>
      </c>
      <c r="C452" s="1" t="s">
        <v>996</v>
      </c>
    </row>
    <row r="453" spans="1:3" x14ac:dyDescent="0.1">
      <c r="A453" s="1" t="s">
        <v>997</v>
      </c>
      <c r="B453" s="1" t="s">
        <v>922</v>
      </c>
      <c r="C453" s="1" t="s">
        <v>998</v>
      </c>
    </row>
    <row r="454" spans="1:3" x14ac:dyDescent="0.1">
      <c r="A454" s="1" t="s">
        <v>999</v>
      </c>
      <c r="B454" s="1" t="s">
        <v>922</v>
      </c>
      <c r="C454" s="1" t="s">
        <v>1000</v>
      </c>
    </row>
    <row r="455" spans="1:3" x14ac:dyDescent="0.1">
      <c r="A455" s="1" t="s">
        <v>1001</v>
      </c>
      <c r="B455" s="1" t="s">
        <v>922</v>
      </c>
      <c r="C455" s="1" t="s">
        <v>1002</v>
      </c>
    </row>
    <row r="456" spans="1:3" x14ac:dyDescent="0.1">
      <c r="A456" s="1" t="s">
        <v>1003</v>
      </c>
      <c r="B456" s="1" t="s">
        <v>922</v>
      </c>
      <c r="C456" s="1" t="s">
        <v>1004</v>
      </c>
    </row>
    <row r="457" spans="1:3" x14ac:dyDescent="0.1">
      <c r="A457" s="1" t="s">
        <v>1005</v>
      </c>
      <c r="B457" s="1" t="s">
        <v>922</v>
      </c>
      <c r="C457" s="1" t="s">
        <v>1006</v>
      </c>
    </row>
    <row r="458" spans="1:3" x14ac:dyDescent="0.1">
      <c r="A458" s="1" t="s">
        <v>1007</v>
      </c>
      <c r="B458" s="1" t="s">
        <v>922</v>
      </c>
      <c r="C458" s="1" t="s">
        <v>1008</v>
      </c>
    </row>
    <row r="459" spans="1:3" x14ac:dyDescent="0.1">
      <c r="A459" s="1" t="s">
        <v>1009</v>
      </c>
      <c r="B459" s="1" t="s">
        <v>922</v>
      </c>
      <c r="C459" s="1" t="s">
        <v>1010</v>
      </c>
    </row>
    <row r="460" spans="1:3" x14ac:dyDescent="0.1">
      <c r="A460" s="5" t="s">
        <v>1011</v>
      </c>
      <c r="B460" s="5" t="s">
        <v>1012</v>
      </c>
      <c r="C460" s="2"/>
    </row>
    <row r="461" spans="1:3" x14ac:dyDescent="0.1">
      <c r="A461" s="1" t="s">
        <v>1013</v>
      </c>
      <c r="B461" s="1" t="s">
        <v>1012</v>
      </c>
      <c r="C461" s="1" t="s">
        <v>1014</v>
      </c>
    </row>
    <row r="462" spans="1:3" x14ac:dyDescent="0.1">
      <c r="A462" s="1" t="s">
        <v>1015</v>
      </c>
      <c r="B462" s="1" t="s">
        <v>1012</v>
      </c>
      <c r="C462" s="1" t="s">
        <v>1016</v>
      </c>
    </row>
    <row r="463" spans="1:3" x14ac:dyDescent="0.1">
      <c r="A463" s="1" t="s">
        <v>1017</v>
      </c>
      <c r="B463" s="1" t="s">
        <v>1012</v>
      </c>
      <c r="C463" s="1" t="s">
        <v>1018</v>
      </c>
    </row>
    <row r="464" spans="1:3" x14ac:dyDescent="0.1">
      <c r="A464" s="1" t="s">
        <v>1019</v>
      </c>
      <c r="B464" s="1" t="s">
        <v>1012</v>
      </c>
      <c r="C464" s="1" t="s">
        <v>1020</v>
      </c>
    </row>
    <row r="465" spans="1:3" x14ac:dyDescent="0.1">
      <c r="A465" s="1" t="s">
        <v>1021</v>
      </c>
      <c r="B465" s="1" t="s">
        <v>1012</v>
      </c>
      <c r="C465" s="1" t="s">
        <v>1022</v>
      </c>
    </row>
    <row r="466" spans="1:3" x14ac:dyDescent="0.1">
      <c r="A466" s="1" t="s">
        <v>1023</v>
      </c>
      <c r="B466" s="1" t="s">
        <v>1012</v>
      </c>
      <c r="C466" s="1" t="s">
        <v>1024</v>
      </c>
    </row>
    <row r="467" spans="1:3" x14ac:dyDescent="0.1">
      <c r="A467" s="1" t="s">
        <v>1025</v>
      </c>
      <c r="B467" s="1" t="s">
        <v>1012</v>
      </c>
      <c r="C467" s="1" t="s">
        <v>1026</v>
      </c>
    </row>
    <row r="468" spans="1:3" x14ac:dyDescent="0.1">
      <c r="A468" s="1" t="s">
        <v>1027</v>
      </c>
      <c r="B468" s="1" t="s">
        <v>1012</v>
      </c>
      <c r="C468" s="1" t="s">
        <v>1028</v>
      </c>
    </row>
    <row r="469" spans="1:3" x14ac:dyDescent="0.1">
      <c r="A469" s="1" t="s">
        <v>1029</v>
      </c>
      <c r="B469" s="1" t="s">
        <v>1012</v>
      </c>
      <c r="C469" s="1" t="s">
        <v>1030</v>
      </c>
    </row>
    <row r="470" spans="1:3" x14ac:dyDescent="0.1">
      <c r="A470" s="1" t="s">
        <v>1031</v>
      </c>
      <c r="B470" s="1" t="s">
        <v>1012</v>
      </c>
      <c r="C470" s="1" t="s">
        <v>1032</v>
      </c>
    </row>
    <row r="471" spans="1:3" x14ac:dyDescent="0.1">
      <c r="A471" s="1" t="s">
        <v>1033</v>
      </c>
      <c r="B471" s="1" t="s">
        <v>1012</v>
      </c>
      <c r="C471" s="1" t="s">
        <v>1034</v>
      </c>
    </row>
    <row r="472" spans="1:3" x14ac:dyDescent="0.1">
      <c r="A472" s="1" t="s">
        <v>1035</v>
      </c>
      <c r="B472" s="1" t="s">
        <v>1012</v>
      </c>
      <c r="C472" s="1" t="s">
        <v>1036</v>
      </c>
    </row>
    <row r="473" spans="1:3" x14ac:dyDescent="0.1">
      <c r="A473" s="1" t="s">
        <v>1037</v>
      </c>
      <c r="B473" s="1" t="s">
        <v>1012</v>
      </c>
      <c r="C473" s="1" t="s">
        <v>1038</v>
      </c>
    </row>
    <row r="474" spans="1:3" x14ac:dyDescent="0.1">
      <c r="A474" s="1" t="s">
        <v>1039</v>
      </c>
      <c r="B474" s="1" t="s">
        <v>1012</v>
      </c>
      <c r="C474" s="1" t="s">
        <v>1040</v>
      </c>
    </row>
    <row r="475" spans="1:3" x14ac:dyDescent="0.1">
      <c r="A475" s="1" t="s">
        <v>1041</v>
      </c>
      <c r="B475" s="1" t="s">
        <v>1012</v>
      </c>
      <c r="C475" s="1" t="s">
        <v>1042</v>
      </c>
    </row>
    <row r="476" spans="1:3" x14ac:dyDescent="0.1">
      <c r="A476" s="1" t="s">
        <v>1043</v>
      </c>
      <c r="B476" s="1" t="s">
        <v>1012</v>
      </c>
      <c r="C476" s="1" t="s">
        <v>1044</v>
      </c>
    </row>
    <row r="477" spans="1:3" x14ac:dyDescent="0.1">
      <c r="A477" s="1" t="s">
        <v>1045</v>
      </c>
      <c r="B477" s="1" t="s">
        <v>1012</v>
      </c>
      <c r="C477" s="1" t="s">
        <v>1046</v>
      </c>
    </row>
    <row r="478" spans="1:3" x14ac:dyDescent="0.1">
      <c r="A478" s="1" t="s">
        <v>1047</v>
      </c>
      <c r="B478" s="1" t="s">
        <v>1012</v>
      </c>
      <c r="C478" s="1" t="s">
        <v>1048</v>
      </c>
    </row>
    <row r="479" spans="1:3" x14ac:dyDescent="0.1">
      <c r="A479" s="1" t="s">
        <v>1049</v>
      </c>
      <c r="B479" s="1" t="s">
        <v>1012</v>
      </c>
      <c r="C479" s="1" t="s">
        <v>1050</v>
      </c>
    </row>
    <row r="480" spans="1:3" x14ac:dyDescent="0.1">
      <c r="A480" s="1" t="s">
        <v>1051</v>
      </c>
      <c r="B480" s="1" t="s">
        <v>1012</v>
      </c>
      <c r="C480" s="1" t="s">
        <v>1052</v>
      </c>
    </row>
    <row r="481" spans="1:3" x14ac:dyDescent="0.1">
      <c r="A481" s="1" t="s">
        <v>1053</v>
      </c>
      <c r="B481" s="1" t="s">
        <v>1012</v>
      </c>
      <c r="C481" s="1" t="s">
        <v>1054</v>
      </c>
    </row>
    <row r="482" spans="1:3" x14ac:dyDescent="0.1">
      <c r="A482" s="1" t="s">
        <v>1055</v>
      </c>
      <c r="B482" s="1" t="s">
        <v>1012</v>
      </c>
      <c r="C482" s="1" t="s">
        <v>1056</v>
      </c>
    </row>
    <row r="483" spans="1:3" x14ac:dyDescent="0.1">
      <c r="A483" s="1" t="s">
        <v>1057</v>
      </c>
      <c r="B483" s="1" t="s">
        <v>1012</v>
      </c>
      <c r="C483" s="1" t="s">
        <v>1058</v>
      </c>
    </row>
    <row r="484" spans="1:3" x14ac:dyDescent="0.1">
      <c r="A484" s="1" t="s">
        <v>1059</v>
      </c>
      <c r="B484" s="1" t="s">
        <v>1012</v>
      </c>
      <c r="C484" s="1" t="s">
        <v>1060</v>
      </c>
    </row>
    <row r="485" spans="1:3" x14ac:dyDescent="0.1">
      <c r="A485" s="1" t="s">
        <v>1061</v>
      </c>
      <c r="B485" s="1" t="s">
        <v>1012</v>
      </c>
      <c r="C485" s="1" t="s">
        <v>1062</v>
      </c>
    </row>
    <row r="486" spans="1:3" x14ac:dyDescent="0.1">
      <c r="A486" s="5" t="s">
        <v>1063</v>
      </c>
      <c r="B486" s="5" t="s">
        <v>1064</v>
      </c>
      <c r="C486" s="2"/>
    </row>
    <row r="487" spans="1:3" x14ac:dyDescent="0.1">
      <c r="A487" s="1" t="s">
        <v>1065</v>
      </c>
      <c r="B487" s="1" t="s">
        <v>1064</v>
      </c>
      <c r="C487" s="1" t="s">
        <v>1066</v>
      </c>
    </row>
    <row r="488" spans="1:3" x14ac:dyDescent="0.1">
      <c r="A488" s="1" t="s">
        <v>1067</v>
      </c>
      <c r="B488" s="1" t="s">
        <v>1064</v>
      </c>
      <c r="C488" s="1" t="s">
        <v>1068</v>
      </c>
    </row>
    <row r="489" spans="1:3" x14ac:dyDescent="0.1">
      <c r="A489" s="1" t="s">
        <v>1069</v>
      </c>
      <c r="B489" s="1" t="s">
        <v>1064</v>
      </c>
      <c r="C489" s="1" t="s">
        <v>1070</v>
      </c>
    </row>
    <row r="490" spans="1:3" x14ac:dyDescent="0.1">
      <c r="A490" s="1" t="s">
        <v>1071</v>
      </c>
      <c r="B490" s="1" t="s">
        <v>1064</v>
      </c>
      <c r="C490" s="1" t="s">
        <v>1072</v>
      </c>
    </row>
    <row r="491" spans="1:3" x14ac:dyDescent="0.1">
      <c r="A491" s="1" t="s">
        <v>1073</v>
      </c>
      <c r="B491" s="1" t="s">
        <v>1064</v>
      </c>
      <c r="C491" s="1" t="s">
        <v>1074</v>
      </c>
    </row>
    <row r="492" spans="1:3" x14ac:dyDescent="0.1">
      <c r="A492" s="1" t="s">
        <v>1075</v>
      </c>
      <c r="B492" s="1" t="s">
        <v>1064</v>
      </c>
      <c r="C492" s="1" t="s">
        <v>1076</v>
      </c>
    </row>
    <row r="493" spans="1:3" x14ac:dyDescent="0.1">
      <c r="A493" s="1" t="s">
        <v>1077</v>
      </c>
      <c r="B493" s="1" t="s">
        <v>1064</v>
      </c>
      <c r="C493" s="1" t="s">
        <v>1078</v>
      </c>
    </row>
    <row r="494" spans="1:3" x14ac:dyDescent="0.1">
      <c r="A494" s="1" t="s">
        <v>1079</v>
      </c>
      <c r="B494" s="1" t="s">
        <v>1064</v>
      </c>
      <c r="C494" s="1" t="s">
        <v>1080</v>
      </c>
    </row>
    <row r="495" spans="1:3" x14ac:dyDescent="0.1">
      <c r="A495" s="1" t="s">
        <v>1081</v>
      </c>
      <c r="B495" s="1" t="s">
        <v>1064</v>
      </c>
      <c r="C495" s="1" t="s">
        <v>1082</v>
      </c>
    </row>
    <row r="496" spans="1:3" x14ac:dyDescent="0.1">
      <c r="A496" s="1" t="s">
        <v>1083</v>
      </c>
      <c r="B496" s="1" t="s">
        <v>1064</v>
      </c>
      <c r="C496" s="1" t="s">
        <v>1084</v>
      </c>
    </row>
    <row r="497" spans="1:3" x14ac:dyDescent="0.1">
      <c r="A497" s="1" t="s">
        <v>1085</v>
      </c>
      <c r="B497" s="1" t="s">
        <v>1064</v>
      </c>
      <c r="C497" s="1" t="s">
        <v>1086</v>
      </c>
    </row>
    <row r="498" spans="1:3" x14ac:dyDescent="0.1">
      <c r="A498" s="1" t="s">
        <v>1087</v>
      </c>
      <c r="B498" s="1" t="s">
        <v>1064</v>
      </c>
      <c r="C498" s="1" t="s">
        <v>1088</v>
      </c>
    </row>
    <row r="499" spans="1:3" x14ac:dyDescent="0.1">
      <c r="A499" s="1" t="s">
        <v>1089</v>
      </c>
      <c r="B499" s="1" t="s">
        <v>1064</v>
      </c>
      <c r="C499" s="1" t="s">
        <v>1090</v>
      </c>
    </row>
    <row r="500" spans="1:3" x14ac:dyDescent="0.1">
      <c r="A500" s="1" t="s">
        <v>1091</v>
      </c>
      <c r="B500" s="1" t="s">
        <v>1064</v>
      </c>
      <c r="C500" s="1" t="s">
        <v>1092</v>
      </c>
    </row>
    <row r="501" spans="1:3" x14ac:dyDescent="0.1">
      <c r="A501" s="1" t="s">
        <v>1093</v>
      </c>
      <c r="B501" s="1" t="s">
        <v>1064</v>
      </c>
      <c r="C501" s="1" t="s">
        <v>1094</v>
      </c>
    </row>
    <row r="502" spans="1:3" x14ac:dyDescent="0.1">
      <c r="A502" s="1" t="s">
        <v>1095</v>
      </c>
      <c r="B502" s="1" t="s">
        <v>1064</v>
      </c>
      <c r="C502" s="1" t="s">
        <v>1096</v>
      </c>
    </row>
    <row r="503" spans="1:3" x14ac:dyDescent="0.1">
      <c r="A503" s="1" t="s">
        <v>1097</v>
      </c>
      <c r="B503" s="1" t="s">
        <v>1064</v>
      </c>
      <c r="C503" s="1" t="s">
        <v>1098</v>
      </c>
    </row>
    <row r="504" spans="1:3" x14ac:dyDescent="0.1">
      <c r="A504" s="1" t="s">
        <v>1099</v>
      </c>
      <c r="B504" s="1" t="s">
        <v>1064</v>
      </c>
      <c r="C504" s="1" t="s">
        <v>1100</v>
      </c>
    </row>
    <row r="505" spans="1:3" x14ac:dyDescent="0.1">
      <c r="A505" s="1" t="s">
        <v>1101</v>
      </c>
      <c r="B505" s="1" t="s">
        <v>1064</v>
      </c>
      <c r="C505" s="1" t="s">
        <v>1102</v>
      </c>
    </row>
    <row r="506" spans="1:3" x14ac:dyDescent="0.1">
      <c r="A506" s="1" t="s">
        <v>1103</v>
      </c>
      <c r="B506" s="1" t="s">
        <v>1064</v>
      </c>
      <c r="C506" s="1" t="s">
        <v>1104</v>
      </c>
    </row>
    <row r="507" spans="1:3" x14ac:dyDescent="0.1">
      <c r="A507" s="1" t="s">
        <v>1105</v>
      </c>
      <c r="B507" s="1" t="s">
        <v>1064</v>
      </c>
      <c r="C507" s="1" t="s">
        <v>1106</v>
      </c>
    </row>
    <row r="508" spans="1:3" x14ac:dyDescent="0.1">
      <c r="A508" s="1" t="s">
        <v>1107</v>
      </c>
      <c r="B508" s="1" t="s">
        <v>1064</v>
      </c>
      <c r="C508" s="1" t="s">
        <v>1108</v>
      </c>
    </row>
    <row r="509" spans="1:3" x14ac:dyDescent="0.1">
      <c r="A509" s="1" t="s">
        <v>1109</v>
      </c>
      <c r="B509" s="1" t="s">
        <v>1064</v>
      </c>
      <c r="C509" s="1" t="s">
        <v>1110</v>
      </c>
    </row>
    <row r="510" spans="1:3" x14ac:dyDescent="0.1">
      <c r="A510" s="1" t="s">
        <v>1111</v>
      </c>
      <c r="B510" s="1" t="s">
        <v>1064</v>
      </c>
      <c r="C510" s="1" t="s">
        <v>1112</v>
      </c>
    </row>
    <row r="511" spans="1:3" x14ac:dyDescent="0.1">
      <c r="A511" s="1" t="s">
        <v>1113</v>
      </c>
      <c r="B511" s="1" t="s">
        <v>1064</v>
      </c>
      <c r="C511" s="1" t="s">
        <v>1114</v>
      </c>
    </row>
    <row r="512" spans="1:3" x14ac:dyDescent="0.1">
      <c r="A512" s="1" t="s">
        <v>1115</v>
      </c>
      <c r="B512" s="1" t="s">
        <v>1064</v>
      </c>
      <c r="C512" s="1" t="s">
        <v>1116</v>
      </c>
    </row>
    <row r="513" spans="1:3" x14ac:dyDescent="0.1">
      <c r="A513" s="1" t="s">
        <v>1117</v>
      </c>
      <c r="B513" s="1" t="s">
        <v>1064</v>
      </c>
      <c r="C513" s="1" t="s">
        <v>1118</v>
      </c>
    </row>
    <row r="514" spans="1:3" x14ac:dyDescent="0.1">
      <c r="A514" s="1" t="s">
        <v>1119</v>
      </c>
      <c r="B514" s="1" t="s">
        <v>1064</v>
      </c>
      <c r="C514" s="1" t="s">
        <v>868</v>
      </c>
    </row>
    <row r="515" spans="1:3" x14ac:dyDescent="0.1">
      <c r="A515" s="1" t="s">
        <v>1120</v>
      </c>
      <c r="B515" s="1" t="s">
        <v>1064</v>
      </c>
      <c r="C515" s="1" t="s">
        <v>1121</v>
      </c>
    </row>
    <row r="516" spans="1:3" x14ac:dyDescent="0.1">
      <c r="A516" s="1" t="s">
        <v>1122</v>
      </c>
      <c r="B516" s="1" t="s">
        <v>1064</v>
      </c>
      <c r="C516" s="1" t="s">
        <v>1123</v>
      </c>
    </row>
    <row r="517" spans="1:3" x14ac:dyDescent="0.1">
      <c r="A517" s="1" t="s">
        <v>1124</v>
      </c>
      <c r="B517" s="1" t="s">
        <v>1064</v>
      </c>
      <c r="C517" s="1" t="s">
        <v>1125</v>
      </c>
    </row>
    <row r="518" spans="1:3" x14ac:dyDescent="0.1">
      <c r="A518" s="1" t="s">
        <v>1126</v>
      </c>
      <c r="B518" s="1" t="s">
        <v>1064</v>
      </c>
      <c r="C518" s="1" t="s">
        <v>1127</v>
      </c>
    </row>
    <row r="519" spans="1:3" x14ac:dyDescent="0.1">
      <c r="A519" s="1" t="s">
        <v>1128</v>
      </c>
      <c r="B519" s="1" t="s">
        <v>1064</v>
      </c>
      <c r="C519" s="1" t="s">
        <v>1129</v>
      </c>
    </row>
    <row r="520" spans="1:3" x14ac:dyDescent="0.1">
      <c r="A520" s="1" t="s">
        <v>1130</v>
      </c>
      <c r="B520" s="1" t="s">
        <v>1064</v>
      </c>
      <c r="C520" s="1" t="s">
        <v>1131</v>
      </c>
    </row>
    <row r="521" spans="1:3" x14ac:dyDescent="0.1">
      <c r="A521" s="1" t="s">
        <v>1132</v>
      </c>
      <c r="B521" s="1" t="s">
        <v>1064</v>
      </c>
      <c r="C521" s="1" t="s">
        <v>1133</v>
      </c>
    </row>
    <row r="522" spans="1:3" x14ac:dyDescent="0.1">
      <c r="A522" s="5" t="s">
        <v>1134</v>
      </c>
      <c r="B522" s="5" t="s">
        <v>1135</v>
      </c>
      <c r="C522" s="2"/>
    </row>
    <row r="523" spans="1:3" x14ac:dyDescent="0.1">
      <c r="A523" s="1" t="s">
        <v>1136</v>
      </c>
      <c r="B523" s="1" t="s">
        <v>1135</v>
      </c>
      <c r="C523" s="1" t="s">
        <v>1137</v>
      </c>
    </row>
    <row r="524" spans="1:3" x14ac:dyDescent="0.1">
      <c r="A524" s="1" t="s">
        <v>1138</v>
      </c>
      <c r="B524" s="1" t="s">
        <v>1135</v>
      </c>
      <c r="C524" s="1" t="s">
        <v>1139</v>
      </c>
    </row>
    <row r="525" spans="1:3" x14ac:dyDescent="0.1">
      <c r="A525" s="1" t="s">
        <v>1140</v>
      </c>
      <c r="B525" s="1" t="s">
        <v>1135</v>
      </c>
      <c r="C525" s="1" t="s">
        <v>1141</v>
      </c>
    </row>
    <row r="526" spans="1:3" x14ac:dyDescent="0.1">
      <c r="A526" s="1" t="s">
        <v>1142</v>
      </c>
      <c r="B526" s="1" t="s">
        <v>1135</v>
      </c>
      <c r="C526" s="1" t="s">
        <v>1143</v>
      </c>
    </row>
    <row r="527" spans="1:3" x14ac:dyDescent="0.1">
      <c r="A527" s="1" t="s">
        <v>1144</v>
      </c>
      <c r="B527" s="1" t="s">
        <v>1135</v>
      </c>
      <c r="C527" s="1" t="s">
        <v>1145</v>
      </c>
    </row>
    <row r="528" spans="1:3" x14ac:dyDescent="0.1">
      <c r="A528" s="1" t="s">
        <v>1146</v>
      </c>
      <c r="B528" s="1" t="s">
        <v>1135</v>
      </c>
      <c r="C528" s="1" t="s">
        <v>1147</v>
      </c>
    </row>
    <row r="529" spans="1:3" x14ac:dyDescent="0.1">
      <c r="A529" s="1" t="s">
        <v>1148</v>
      </c>
      <c r="B529" s="1" t="s">
        <v>1135</v>
      </c>
      <c r="C529" s="1" t="s">
        <v>1149</v>
      </c>
    </row>
    <row r="530" spans="1:3" x14ac:dyDescent="0.1">
      <c r="A530" s="1" t="s">
        <v>1150</v>
      </c>
      <c r="B530" s="1" t="s">
        <v>1135</v>
      </c>
      <c r="C530" s="1" t="s">
        <v>1151</v>
      </c>
    </row>
    <row r="531" spans="1:3" x14ac:dyDescent="0.1">
      <c r="A531" s="1" t="s">
        <v>1152</v>
      </c>
      <c r="B531" s="1" t="s">
        <v>1135</v>
      </c>
      <c r="C531" s="1" t="s">
        <v>1153</v>
      </c>
    </row>
    <row r="532" spans="1:3" x14ac:dyDescent="0.1">
      <c r="A532" s="1" t="s">
        <v>1154</v>
      </c>
      <c r="B532" s="1" t="s">
        <v>1135</v>
      </c>
      <c r="C532" s="1" t="s">
        <v>1155</v>
      </c>
    </row>
    <row r="533" spans="1:3" x14ac:dyDescent="0.1">
      <c r="A533" s="1" t="s">
        <v>1156</v>
      </c>
      <c r="B533" s="1" t="s">
        <v>1135</v>
      </c>
      <c r="C533" s="1" t="s">
        <v>1157</v>
      </c>
    </row>
    <row r="534" spans="1:3" x14ac:dyDescent="0.1">
      <c r="A534" s="1" t="s">
        <v>1158</v>
      </c>
      <c r="B534" s="1" t="s">
        <v>1135</v>
      </c>
      <c r="C534" s="1" t="s">
        <v>1159</v>
      </c>
    </row>
    <row r="535" spans="1:3" x14ac:dyDescent="0.1">
      <c r="A535" s="1" t="s">
        <v>1160</v>
      </c>
      <c r="B535" s="1" t="s">
        <v>1135</v>
      </c>
      <c r="C535" s="1" t="s">
        <v>1161</v>
      </c>
    </row>
    <row r="536" spans="1:3" x14ac:dyDescent="0.1">
      <c r="A536" s="1" t="s">
        <v>1162</v>
      </c>
      <c r="B536" s="1" t="s">
        <v>1135</v>
      </c>
      <c r="C536" s="1" t="s">
        <v>1163</v>
      </c>
    </row>
    <row r="537" spans="1:3" x14ac:dyDescent="0.1">
      <c r="A537" s="1" t="s">
        <v>1164</v>
      </c>
      <c r="B537" s="1" t="s">
        <v>1135</v>
      </c>
      <c r="C537" s="1" t="s">
        <v>1165</v>
      </c>
    </row>
    <row r="538" spans="1:3" x14ac:dyDescent="0.1">
      <c r="A538" s="1" t="s">
        <v>1166</v>
      </c>
      <c r="B538" s="1" t="s">
        <v>1135</v>
      </c>
      <c r="C538" s="1" t="s">
        <v>1167</v>
      </c>
    </row>
    <row r="539" spans="1:3" x14ac:dyDescent="0.1">
      <c r="A539" s="1" t="s">
        <v>1168</v>
      </c>
      <c r="B539" s="1" t="s">
        <v>1135</v>
      </c>
      <c r="C539" s="1" t="s">
        <v>1169</v>
      </c>
    </row>
    <row r="540" spans="1:3" x14ac:dyDescent="0.1">
      <c r="A540" s="1" t="s">
        <v>1170</v>
      </c>
      <c r="B540" s="1" t="s">
        <v>1135</v>
      </c>
      <c r="C540" s="1" t="s">
        <v>1171</v>
      </c>
    </row>
    <row r="541" spans="1:3" x14ac:dyDescent="0.1">
      <c r="A541" s="1" t="s">
        <v>1172</v>
      </c>
      <c r="B541" s="1" t="s">
        <v>1135</v>
      </c>
      <c r="C541" s="1" t="s">
        <v>1173</v>
      </c>
    </row>
    <row r="542" spans="1:3" x14ac:dyDescent="0.1">
      <c r="A542" s="1" t="s">
        <v>1174</v>
      </c>
      <c r="B542" s="1" t="s">
        <v>1135</v>
      </c>
      <c r="C542" s="1" t="s">
        <v>1175</v>
      </c>
    </row>
    <row r="543" spans="1:3" x14ac:dyDescent="0.1">
      <c r="A543" s="1" t="s">
        <v>1176</v>
      </c>
      <c r="B543" s="1" t="s">
        <v>1135</v>
      </c>
      <c r="C543" s="1" t="s">
        <v>1177</v>
      </c>
    </row>
    <row r="544" spans="1:3" x14ac:dyDescent="0.1">
      <c r="A544" s="1" t="s">
        <v>1178</v>
      </c>
      <c r="B544" s="1" t="s">
        <v>1135</v>
      </c>
      <c r="C544" s="1" t="s">
        <v>1179</v>
      </c>
    </row>
    <row r="545" spans="1:3" x14ac:dyDescent="0.1">
      <c r="A545" s="1" t="s">
        <v>1180</v>
      </c>
      <c r="B545" s="1" t="s">
        <v>1135</v>
      </c>
      <c r="C545" s="1" t="s">
        <v>1181</v>
      </c>
    </row>
    <row r="546" spans="1:3" x14ac:dyDescent="0.1">
      <c r="A546" s="1" t="s">
        <v>1182</v>
      </c>
      <c r="B546" s="1" t="s">
        <v>1135</v>
      </c>
      <c r="C546" s="1" t="s">
        <v>1183</v>
      </c>
    </row>
    <row r="547" spans="1:3" x14ac:dyDescent="0.1">
      <c r="A547" s="1" t="s">
        <v>1184</v>
      </c>
      <c r="B547" s="1" t="s">
        <v>1135</v>
      </c>
      <c r="C547" s="1" t="s">
        <v>1185</v>
      </c>
    </row>
    <row r="548" spans="1:3" x14ac:dyDescent="0.1">
      <c r="A548" s="1" t="s">
        <v>1186</v>
      </c>
      <c r="B548" s="1" t="s">
        <v>1135</v>
      </c>
      <c r="C548" s="1" t="s">
        <v>1187</v>
      </c>
    </row>
    <row r="549" spans="1:3" x14ac:dyDescent="0.1">
      <c r="A549" s="1" t="s">
        <v>1188</v>
      </c>
      <c r="B549" s="1" t="s">
        <v>1135</v>
      </c>
      <c r="C549" s="1" t="s">
        <v>1189</v>
      </c>
    </row>
    <row r="550" spans="1:3" x14ac:dyDescent="0.1">
      <c r="A550" s="1" t="s">
        <v>1190</v>
      </c>
      <c r="B550" s="1" t="s">
        <v>1135</v>
      </c>
      <c r="C550" s="1" t="s">
        <v>1191</v>
      </c>
    </row>
    <row r="551" spans="1:3" x14ac:dyDescent="0.1">
      <c r="A551" s="1" t="s">
        <v>1192</v>
      </c>
      <c r="B551" s="1" t="s">
        <v>1135</v>
      </c>
      <c r="C551" s="1" t="s">
        <v>1193</v>
      </c>
    </row>
    <row r="552" spans="1:3" x14ac:dyDescent="0.1">
      <c r="A552" s="1" t="s">
        <v>1194</v>
      </c>
      <c r="B552" s="1" t="s">
        <v>1135</v>
      </c>
      <c r="C552" s="1" t="s">
        <v>1195</v>
      </c>
    </row>
    <row r="553" spans="1:3" x14ac:dyDescent="0.1">
      <c r="A553" s="1" t="s">
        <v>1196</v>
      </c>
      <c r="B553" s="1" t="s">
        <v>1135</v>
      </c>
      <c r="C553" s="1" t="s">
        <v>1197</v>
      </c>
    </row>
    <row r="554" spans="1:3" x14ac:dyDescent="0.1">
      <c r="A554" s="1" t="s">
        <v>1198</v>
      </c>
      <c r="B554" s="1" t="s">
        <v>1135</v>
      </c>
      <c r="C554" s="1" t="s">
        <v>1199</v>
      </c>
    </row>
    <row r="555" spans="1:3" x14ac:dyDescent="0.1">
      <c r="A555" s="1" t="s">
        <v>1200</v>
      </c>
      <c r="B555" s="1" t="s">
        <v>1135</v>
      </c>
      <c r="C555" s="1" t="s">
        <v>1201</v>
      </c>
    </row>
    <row r="556" spans="1:3" x14ac:dyDescent="0.1">
      <c r="A556" s="1" t="s">
        <v>1202</v>
      </c>
      <c r="B556" s="1" t="s">
        <v>1135</v>
      </c>
      <c r="C556" s="1" t="s">
        <v>1203</v>
      </c>
    </row>
    <row r="557" spans="1:3" x14ac:dyDescent="0.1">
      <c r="A557" s="1" t="s">
        <v>1204</v>
      </c>
      <c r="B557" s="1" t="s">
        <v>1135</v>
      </c>
      <c r="C557" s="1" t="s">
        <v>1205</v>
      </c>
    </row>
    <row r="558" spans="1:3" x14ac:dyDescent="0.1">
      <c r="A558" s="1" t="s">
        <v>1206</v>
      </c>
      <c r="B558" s="1" t="s">
        <v>1135</v>
      </c>
      <c r="C558" s="1" t="s">
        <v>1207</v>
      </c>
    </row>
    <row r="559" spans="1:3" x14ac:dyDescent="0.1">
      <c r="A559" s="1" t="s">
        <v>1208</v>
      </c>
      <c r="B559" s="1" t="s">
        <v>1135</v>
      </c>
      <c r="C559" s="1" t="s">
        <v>1209</v>
      </c>
    </row>
    <row r="560" spans="1:3" x14ac:dyDescent="0.1">
      <c r="A560" s="1" t="s">
        <v>1210</v>
      </c>
      <c r="B560" s="1" t="s">
        <v>1135</v>
      </c>
      <c r="C560" s="1" t="s">
        <v>1211</v>
      </c>
    </row>
    <row r="561" spans="1:3" x14ac:dyDescent="0.1">
      <c r="A561" s="1" t="s">
        <v>1212</v>
      </c>
      <c r="B561" s="1" t="s">
        <v>1135</v>
      </c>
      <c r="C561" s="1" t="s">
        <v>1213</v>
      </c>
    </row>
    <row r="562" spans="1:3" x14ac:dyDescent="0.1">
      <c r="A562" s="1" t="s">
        <v>1214</v>
      </c>
      <c r="B562" s="1" t="s">
        <v>1135</v>
      </c>
      <c r="C562" s="1" t="s">
        <v>3636</v>
      </c>
    </row>
    <row r="563" spans="1:3" x14ac:dyDescent="0.1">
      <c r="A563" s="1" t="s">
        <v>1215</v>
      </c>
      <c r="B563" s="1" t="s">
        <v>1135</v>
      </c>
      <c r="C563" s="1" t="s">
        <v>1216</v>
      </c>
    </row>
    <row r="564" spans="1:3" x14ac:dyDescent="0.1">
      <c r="A564" s="1" t="s">
        <v>1217</v>
      </c>
      <c r="B564" s="1" t="s">
        <v>1135</v>
      </c>
      <c r="C564" s="1" t="s">
        <v>1218</v>
      </c>
    </row>
    <row r="565" spans="1:3" x14ac:dyDescent="0.1">
      <c r="A565" s="1" t="s">
        <v>1219</v>
      </c>
      <c r="B565" s="1" t="s">
        <v>1135</v>
      </c>
      <c r="C565" s="1" t="s">
        <v>1220</v>
      </c>
    </row>
    <row r="566" spans="1:3" x14ac:dyDescent="0.1">
      <c r="A566" s="1" t="s">
        <v>1221</v>
      </c>
      <c r="B566" s="1" t="s">
        <v>1135</v>
      </c>
      <c r="C566" s="1" t="s">
        <v>1222</v>
      </c>
    </row>
    <row r="567" spans="1:3" x14ac:dyDescent="0.1">
      <c r="A567" s="1" t="s">
        <v>1223</v>
      </c>
      <c r="B567" s="1" t="s">
        <v>1135</v>
      </c>
      <c r="C567" s="1" t="s">
        <v>1224</v>
      </c>
    </row>
    <row r="568" spans="1:3" x14ac:dyDescent="0.1">
      <c r="A568" s="1" t="s">
        <v>1225</v>
      </c>
      <c r="B568" s="1" t="s">
        <v>1135</v>
      </c>
      <c r="C568" s="1" t="s">
        <v>1226</v>
      </c>
    </row>
    <row r="569" spans="1:3" x14ac:dyDescent="0.1">
      <c r="A569" s="1" t="s">
        <v>1227</v>
      </c>
      <c r="B569" s="1" t="s">
        <v>1135</v>
      </c>
      <c r="C569" s="1" t="s">
        <v>1228</v>
      </c>
    </row>
    <row r="570" spans="1:3" x14ac:dyDescent="0.1">
      <c r="A570" s="1" t="s">
        <v>1229</v>
      </c>
      <c r="B570" s="1" t="s">
        <v>1135</v>
      </c>
      <c r="C570" s="1" t="s">
        <v>1230</v>
      </c>
    </row>
    <row r="571" spans="1:3" x14ac:dyDescent="0.1">
      <c r="A571" s="1" t="s">
        <v>1231</v>
      </c>
      <c r="B571" s="1" t="s">
        <v>1135</v>
      </c>
      <c r="C571" s="1" t="s">
        <v>1232</v>
      </c>
    </row>
    <row r="572" spans="1:3" x14ac:dyDescent="0.1">
      <c r="A572" s="1" t="s">
        <v>1233</v>
      </c>
      <c r="B572" s="1" t="s">
        <v>1135</v>
      </c>
      <c r="C572" s="1" t="s">
        <v>1234</v>
      </c>
    </row>
    <row r="573" spans="1:3" x14ac:dyDescent="0.1">
      <c r="A573" s="1" t="s">
        <v>1235</v>
      </c>
      <c r="B573" s="1" t="s">
        <v>1135</v>
      </c>
      <c r="C573" s="1" t="s">
        <v>1236</v>
      </c>
    </row>
    <row r="574" spans="1:3" x14ac:dyDescent="0.1">
      <c r="A574" s="1" t="s">
        <v>1237</v>
      </c>
      <c r="B574" s="1" t="s">
        <v>1135</v>
      </c>
      <c r="C574" s="1" t="s">
        <v>1238</v>
      </c>
    </row>
    <row r="575" spans="1:3" x14ac:dyDescent="0.1">
      <c r="A575" s="1" t="s">
        <v>1239</v>
      </c>
      <c r="B575" s="1" t="s">
        <v>1135</v>
      </c>
      <c r="C575" s="1" t="s">
        <v>1240</v>
      </c>
    </row>
    <row r="576" spans="1:3" x14ac:dyDescent="0.1">
      <c r="A576" s="1" t="s">
        <v>1241</v>
      </c>
      <c r="B576" s="1" t="s">
        <v>1135</v>
      </c>
      <c r="C576" s="1" t="s">
        <v>1242</v>
      </c>
    </row>
    <row r="577" spans="1:3" x14ac:dyDescent="0.1">
      <c r="A577" s="1" t="s">
        <v>1243</v>
      </c>
      <c r="B577" s="1" t="s">
        <v>1135</v>
      </c>
      <c r="C577" s="1" t="s">
        <v>1244</v>
      </c>
    </row>
    <row r="578" spans="1:3" x14ac:dyDescent="0.1">
      <c r="A578" s="1" t="s">
        <v>1245</v>
      </c>
      <c r="B578" s="1" t="s">
        <v>1135</v>
      </c>
      <c r="C578" s="1" t="s">
        <v>1246</v>
      </c>
    </row>
    <row r="579" spans="1:3" x14ac:dyDescent="0.1">
      <c r="A579" s="1" t="s">
        <v>1247</v>
      </c>
      <c r="B579" s="1" t="s">
        <v>1135</v>
      </c>
      <c r="C579" s="1" t="s">
        <v>674</v>
      </c>
    </row>
    <row r="580" spans="1:3" x14ac:dyDescent="0.1">
      <c r="A580" s="1" t="s">
        <v>1248</v>
      </c>
      <c r="B580" s="1" t="s">
        <v>1135</v>
      </c>
      <c r="C580" s="1" t="s">
        <v>1249</v>
      </c>
    </row>
    <row r="581" spans="1:3" x14ac:dyDescent="0.1">
      <c r="A581" s="1" t="s">
        <v>1250</v>
      </c>
      <c r="B581" s="1" t="s">
        <v>1135</v>
      </c>
      <c r="C581" s="1" t="s">
        <v>1251</v>
      </c>
    </row>
    <row r="582" spans="1:3" x14ac:dyDescent="0.1">
      <c r="A582" s="1" t="s">
        <v>1252</v>
      </c>
      <c r="B582" s="1" t="s">
        <v>1135</v>
      </c>
      <c r="C582" s="1" t="s">
        <v>1253</v>
      </c>
    </row>
    <row r="583" spans="1:3" x14ac:dyDescent="0.1">
      <c r="A583" s="1" t="s">
        <v>1254</v>
      </c>
      <c r="B583" s="1" t="s">
        <v>1135</v>
      </c>
      <c r="C583" s="1" t="s">
        <v>1255</v>
      </c>
    </row>
    <row r="584" spans="1:3" x14ac:dyDescent="0.1">
      <c r="A584" s="1" t="s">
        <v>1256</v>
      </c>
      <c r="B584" s="1" t="s">
        <v>1135</v>
      </c>
      <c r="C584" s="1" t="s">
        <v>1257</v>
      </c>
    </row>
    <row r="585" spans="1:3" x14ac:dyDescent="0.1">
      <c r="A585" s="1" t="s">
        <v>1258</v>
      </c>
      <c r="B585" s="1" t="s">
        <v>1135</v>
      </c>
      <c r="C585" s="1" t="s">
        <v>1259</v>
      </c>
    </row>
    <row r="586" spans="1:3" x14ac:dyDescent="0.1">
      <c r="A586" s="5" t="s">
        <v>1260</v>
      </c>
      <c r="B586" s="5" t="s">
        <v>1261</v>
      </c>
      <c r="C586" s="2"/>
    </row>
    <row r="587" spans="1:3" x14ac:dyDescent="0.1">
      <c r="A587" s="1" t="s">
        <v>1262</v>
      </c>
      <c r="B587" s="1" t="s">
        <v>1261</v>
      </c>
      <c r="C587" s="1" t="s">
        <v>1263</v>
      </c>
    </row>
    <row r="588" spans="1:3" x14ac:dyDescent="0.1">
      <c r="A588" s="1" t="s">
        <v>1264</v>
      </c>
      <c r="B588" s="1" t="s">
        <v>1261</v>
      </c>
      <c r="C588" s="1" t="s">
        <v>1265</v>
      </c>
    </row>
    <row r="589" spans="1:3" x14ac:dyDescent="0.1">
      <c r="A589" s="1" t="s">
        <v>1266</v>
      </c>
      <c r="B589" s="1" t="s">
        <v>1261</v>
      </c>
      <c r="C589" s="1" t="s">
        <v>1267</v>
      </c>
    </row>
    <row r="590" spans="1:3" x14ac:dyDescent="0.1">
      <c r="A590" s="1" t="s">
        <v>1268</v>
      </c>
      <c r="B590" s="1" t="s">
        <v>1261</v>
      </c>
      <c r="C590" s="1" t="s">
        <v>1269</v>
      </c>
    </row>
    <row r="591" spans="1:3" x14ac:dyDescent="0.1">
      <c r="A591" s="1" t="s">
        <v>1270</v>
      </c>
      <c r="B591" s="1" t="s">
        <v>1261</v>
      </c>
      <c r="C591" s="1" t="s">
        <v>1271</v>
      </c>
    </row>
    <row r="592" spans="1:3" x14ac:dyDescent="0.1">
      <c r="A592" s="1" t="s">
        <v>1272</v>
      </c>
      <c r="B592" s="1" t="s">
        <v>1261</v>
      </c>
      <c r="C592" s="1" t="s">
        <v>1273</v>
      </c>
    </row>
    <row r="593" spans="1:3" x14ac:dyDescent="0.1">
      <c r="A593" s="1" t="s">
        <v>1274</v>
      </c>
      <c r="B593" s="1" t="s">
        <v>1261</v>
      </c>
      <c r="C593" s="1" t="s">
        <v>1275</v>
      </c>
    </row>
    <row r="594" spans="1:3" x14ac:dyDescent="0.1">
      <c r="A594" s="1" t="s">
        <v>1276</v>
      </c>
      <c r="B594" s="1" t="s">
        <v>1261</v>
      </c>
      <c r="C594" s="1" t="s">
        <v>1277</v>
      </c>
    </row>
    <row r="595" spans="1:3" x14ac:dyDescent="0.1">
      <c r="A595" s="1" t="s">
        <v>1278</v>
      </c>
      <c r="B595" s="1" t="s">
        <v>1261</v>
      </c>
      <c r="C595" s="1" t="s">
        <v>1279</v>
      </c>
    </row>
    <row r="596" spans="1:3" x14ac:dyDescent="0.1">
      <c r="A596" s="1" t="s">
        <v>1280</v>
      </c>
      <c r="B596" s="1" t="s">
        <v>1261</v>
      </c>
      <c r="C596" s="1" t="s">
        <v>1281</v>
      </c>
    </row>
    <row r="597" spans="1:3" x14ac:dyDescent="0.1">
      <c r="A597" s="1" t="s">
        <v>1282</v>
      </c>
      <c r="B597" s="1" t="s">
        <v>1261</v>
      </c>
      <c r="C597" s="1" t="s">
        <v>1283</v>
      </c>
    </row>
    <row r="598" spans="1:3" x14ac:dyDescent="0.1">
      <c r="A598" s="1" t="s">
        <v>1284</v>
      </c>
      <c r="B598" s="1" t="s">
        <v>1261</v>
      </c>
      <c r="C598" s="1" t="s">
        <v>1285</v>
      </c>
    </row>
    <row r="599" spans="1:3" x14ac:dyDescent="0.1">
      <c r="A599" s="1" t="s">
        <v>1286</v>
      </c>
      <c r="B599" s="1" t="s">
        <v>1261</v>
      </c>
      <c r="C599" s="1" t="s">
        <v>1287</v>
      </c>
    </row>
    <row r="600" spans="1:3" x14ac:dyDescent="0.1">
      <c r="A600" s="1" t="s">
        <v>1288</v>
      </c>
      <c r="B600" s="1" t="s">
        <v>1261</v>
      </c>
      <c r="C600" s="1" t="s">
        <v>1289</v>
      </c>
    </row>
    <row r="601" spans="1:3" x14ac:dyDescent="0.1">
      <c r="A601" s="1" t="s">
        <v>1290</v>
      </c>
      <c r="B601" s="1" t="s">
        <v>1261</v>
      </c>
      <c r="C601" s="1" t="s">
        <v>1291</v>
      </c>
    </row>
    <row r="602" spans="1:3" x14ac:dyDescent="0.1">
      <c r="A602" s="1" t="s">
        <v>1292</v>
      </c>
      <c r="B602" s="1" t="s">
        <v>1261</v>
      </c>
      <c r="C602" s="1" t="s">
        <v>1293</v>
      </c>
    </row>
    <row r="603" spans="1:3" x14ac:dyDescent="0.1">
      <c r="A603" s="1" t="s">
        <v>1294</v>
      </c>
      <c r="B603" s="1" t="s">
        <v>1261</v>
      </c>
      <c r="C603" s="1" t="s">
        <v>1295</v>
      </c>
    </row>
    <row r="604" spans="1:3" x14ac:dyDescent="0.1">
      <c r="A604" s="1" t="s">
        <v>1296</v>
      </c>
      <c r="B604" s="1" t="s">
        <v>1261</v>
      </c>
      <c r="C604" s="1" t="s">
        <v>1297</v>
      </c>
    </row>
    <row r="605" spans="1:3" x14ac:dyDescent="0.1">
      <c r="A605" s="1" t="s">
        <v>1298</v>
      </c>
      <c r="B605" s="1" t="s">
        <v>1261</v>
      </c>
      <c r="C605" s="1" t="s">
        <v>1299</v>
      </c>
    </row>
    <row r="606" spans="1:3" x14ac:dyDescent="0.1">
      <c r="A606" s="1" t="s">
        <v>1300</v>
      </c>
      <c r="B606" s="1" t="s">
        <v>1261</v>
      </c>
      <c r="C606" s="1" t="s">
        <v>1301</v>
      </c>
    </row>
    <row r="607" spans="1:3" x14ac:dyDescent="0.1">
      <c r="A607" s="1" t="s">
        <v>1302</v>
      </c>
      <c r="B607" s="1" t="s">
        <v>1261</v>
      </c>
      <c r="C607" s="1" t="s">
        <v>1303</v>
      </c>
    </row>
    <row r="608" spans="1:3" x14ac:dyDescent="0.1">
      <c r="A608" s="1" t="s">
        <v>1304</v>
      </c>
      <c r="B608" s="1" t="s">
        <v>1261</v>
      </c>
      <c r="C608" s="1" t="s">
        <v>1305</v>
      </c>
    </row>
    <row r="609" spans="1:3" x14ac:dyDescent="0.1">
      <c r="A609" s="1" t="s">
        <v>1306</v>
      </c>
      <c r="B609" s="1" t="s">
        <v>1261</v>
      </c>
      <c r="C609" s="1" t="s">
        <v>1307</v>
      </c>
    </row>
    <row r="610" spans="1:3" x14ac:dyDescent="0.1">
      <c r="A610" s="1" t="s">
        <v>1308</v>
      </c>
      <c r="B610" s="1" t="s">
        <v>1261</v>
      </c>
      <c r="C610" s="1" t="s">
        <v>1309</v>
      </c>
    </row>
    <row r="611" spans="1:3" x14ac:dyDescent="0.1">
      <c r="A611" s="1" t="s">
        <v>1310</v>
      </c>
      <c r="B611" s="1" t="s">
        <v>1261</v>
      </c>
      <c r="C611" s="1" t="s">
        <v>1311</v>
      </c>
    </row>
    <row r="612" spans="1:3" x14ac:dyDescent="0.1">
      <c r="A612" s="1" t="s">
        <v>1312</v>
      </c>
      <c r="B612" s="1" t="s">
        <v>1261</v>
      </c>
      <c r="C612" s="1" t="s">
        <v>1313</v>
      </c>
    </row>
    <row r="613" spans="1:3" x14ac:dyDescent="0.1">
      <c r="A613" s="1" t="s">
        <v>1314</v>
      </c>
      <c r="B613" s="1" t="s">
        <v>1261</v>
      </c>
      <c r="C613" s="1" t="s">
        <v>1315</v>
      </c>
    </row>
    <row r="614" spans="1:3" x14ac:dyDescent="0.1">
      <c r="A614" s="1" t="s">
        <v>1316</v>
      </c>
      <c r="B614" s="1" t="s">
        <v>1261</v>
      </c>
      <c r="C614" s="1" t="s">
        <v>1317</v>
      </c>
    </row>
    <row r="615" spans="1:3" x14ac:dyDescent="0.1">
      <c r="A615" s="1" t="s">
        <v>1318</v>
      </c>
      <c r="B615" s="1" t="s">
        <v>1261</v>
      </c>
      <c r="C615" s="1" t="s">
        <v>1319</v>
      </c>
    </row>
    <row r="616" spans="1:3" x14ac:dyDescent="0.1">
      <c r="A616" s="1" t="s">
        <v>1320</v>
      </c>
      <c r="B616" s="1" t="s">
        <v>1261</v>
      </c>
      <c r="C616" s="1" t="s">
        <v>1321</v>
      </c>
    </row>
    <row r="617" spans="1:3" x14ac:dyDescent="0.1">
      <c r="A617" s="1" t="s">
        <v>1322</v>
      </c>
      <c r="B617" s="1" t="s">
        <v>1261</v>
      </c>
      <c r="C617" s="1" t="s">
        <v>1323</v>
      </c>
    </row>
    <row r="618" spans="1:3" x14ac:dyDescent="0.1">
      <c r="A618" s="1" t="s">
        <v>1324</v>
      </c>
      <c r="B618" s="1" t="s">
        <v>1261</v>
      </c>
      <c r="C618" s="1" t="s">
        <v>1325</v>
      </c>
    </row>
    <row r="619" spans="1:3" x14ac:dyDescent="0.1">
      <c r="A619" s="1" t="s">
        <v>1326</v>
      </c>
      <c r="B619" s="1" t="s">
        <v>1261</v>
      </c>
      <c r="C619" s="1" t="s">
        <v>1327</v>
      </c>
    </row>
    <row r="620" spans="1:3" x14ac:dyDescent="0.1">
      <c r="A620" s="1" t="s">
        <v>1328</v>
      </c>
      <c r="B620" s="1" t="s">
        <v>1261</v>
      </c>
      <c r="C620" s="1" t="s">
        <v>1329</v>
      </c>
    </row>
    <row r="621" spans="1:3" x14ac:dyDescent="0.1">
      <c r="A621" s="1" t="s">
        <v>1330</v>
      </c>
      <c r="B621" s="1" t="s">
        <v>1261</v>
      </c>
      <c r="C621" s="1" t="s">
        <v>1331</v>
      </c>
    </row>
    <row r="622" spans="1:3" x14ac:dyDescent="0.1">
      <c r="A622" s="1" t="s">
        <v>1332</v>
      </c>
      <c r="B622" s="1" t="s">
        <v>1261</v>
      </c>
      <c r="C622" s="1" t="s">
        <v>1333</v>
      </c>
    </row>
    <row r="623" spans="1:3" x14ac:dyDescent="0.1">
      <c r="A623" s="1" t="s">
        <v>1334</v>
      </c>
      <c r="B623" s="1" t="s">
        <v>1261</v>
      </c>
      <c r="C623" s="1" t="s">
        <v>3637</v>
      </c>
    </row>
    <row r="624" spans="1:3" x14ac:dyDescent="0.1">
      <c r="A624" s="1" t="s">
        <v>1335</v>
      </c>
      <c r="B624" s="1" t="s">
        <v>1261</v>
      </c>
      <c r="C624" s="1" t="s">
        <v>1336</v>
      </c>
    </row>
    <row r="625" spans="1:3" x14ac:dyDescent="0.1">
      <c r="A625" s="1" t="s">
        <v>1337</v>
      </c>
      <c r="B625" s="1" t="s">
        <v>1261</v>
      </c>
      <c r="C625" s="1" t="s">
        <v>1338</v>
      </c>
    </row>
    <row r="626" spans="1:3" x14ac:dyDescent="0.1">
      <c r="A626" s="1" t="s">
        <v>1339</v>
      </c>
      <c r="B626" s="1" t="s">
        <v>1261</v>
      </c>
      <c r="C626" s="1" t="s">
        <v>1340</v>
      </c>
    </row>
    <row r="627" spans="1:3" x14ac:dyDescent="0.1">
      <c r="A627" s="1" t="s">
        <v>1341</v>
      </c>
      <c r="B627" s="1" t="s">
        <v>1261</v>
      </c>
      <c r="C627" s="1" t="s">
        <v>1342</v>
      </c>
    </row>
    <row r="628" spans="1:3" x14ac:dyDescent="0.1">
      <c r="A628" s="1" t="s">
        <v>1343</v>
      </c>
      <c r="B628" s="1" t="s">
        <v>1261</v>
      </c>
      <c r="C628" s="1" t="s">
        <v>1344</v>
      </c>
    </row>
    <row r="629" spans="1:3" x14ac:dyDescent="0.1">
      <c r="A629" s="1" t="s">
        <v>1345</v>
      </c>
      <c r="B629" s="1" t="s">
        <v>1261</v>
      </c>
      <c r="C629" s="1" t="s">
        <v>1346</v>
      </c>
    </row>
    <row r="630" spans="1:3" x14ac:dyDescent="0.1">
      <c r="A630" s="1" t="s">
        <v>1347</v>
      </c>
      <c r="B630" s="1" t="s">
        <v>1261</v>
      </c>
      <c r="C630" s="1" t="s">
        <v>1348</v>
      </c>
    </row>
    <row r="631" spans="1:3" x14ac:dyDescent="0.1">
      <c r="A631" s="1" t="s">
        <v>1349</v>
      </c>
      <c r="B631" s="1" t="s">
        <v>1261</v>
      </c>
      <c r="C631" s="1" t="s">
        <v>1350</v>
      </c>
    </row>
    <row r="632" spans="1:3" x14ac:dyDescent="0.1">
      <c r="A632" s="1" t="s">
        <v>1351</v>
      </c>
      <c r="B632" s="1" t="s">
        <v>1261</v>
      </c>
      <c r="C632" s="1" t="s">
        <v>1352</v>
      </c>
    </row>
    <row r="633" spans="1:3" x14ac:dyDescent="0.1">
      <c r="A633" s="1" t="s">
        <v>1353</v>
      </c>
      <c r="B633" s="1" t="s">
        <v>1261</v>
      </c>
      <c r="C633" s="1" t="s">
        <v>1354</v>
      </c>
    </row>
    <row r="634" spans="1:3" x14ac:dyDescent="0.1">
      <c r="A634" s="1" t="s">
        <v>1355</v>
      </c>
      <c r="B634" s="1" t="s">
        <v>1261</v>
      </c>
      <c r="C634" s="1" t="s">
        <v>1356</v>
      </c>
    </row>
    <row r="635" spans="1:3" x14ac:dyDescent="0.1">
      <c r="A635" s="1" t="s">
        <v>1357</v>
      </c>
      <c r="B635" s="1" t="s">
        <v>1261</v>
      </c>
      <c r="C635" s="1" t="s">
        <v>1358</v>
      </c>
    </row>
    <row r="636" spans="1:3" x14ac:dyDescent="0.1">
      <c r="A636" s="1" t="s">
        <v>1359</v>
      </c>
      <c r="B636" s="1" t="s">
        <v>1261</v>
      </c>
      <c r="C636" s="1" t="s">
        <v>1360</v>
      </c>
    </row>
    <row r="637" spans="1:3" x14ac:dyDescent="0.1">
      <c r="A637" s="1" t="s">
        <v>1361</v>
      </c>
      <c r="B637" s="1" t="s">
        <v>1261</v>
      </c>
      <c r="C637" s="1" t="s">
        <v>1362</v>
      </c>
    </row>
    <row r="638" spans="1:3" x14ac:dyDescent="0.1">
      <c r="A638" s="1" t="s">
        <v>1363</v>
      </c>
      <c r="B638" s="1" t="s">
        <v>1261</v>
      </c>
      <c r="C638" s="1" t="s">
        <v>1364</v>
      </c>
    </row>
    <row r="639" spans="1:3" x14ac:dyDescent="0.1">
      <c r="A639" s="1" t="s">
        <v>1365</v>
      </c>
      <c r="B639" s="1" t="s">
        <v>1261</v>
      </c>
      <c r="C639" s="1" t="s">
        <v>1366</v>
      </c>
    </row>
    <row r="640" spans="1:3" x14ac:dyDescent="0.1">
      <c r="A640" s="1" t="s">
        <v>1367</v>
      </c>
      <c r="B640" s="1" t="s">
        <v>1261</v>
      </c>
      <c r="C640" s="1" t="s">
        <v>1368</v>
      </c>
    </row>
    <row r="641" spans="1:3" x14ac:dyDescent="0.1">
      <c r="A641" s="5" t="s">
        <v>1369</v>
      </c>
      <c r="B641" s="5" t="s">
        <v>1370</v>
      </c>
      <c r="C641" s="2"/>
    </row>
    <row r="642" spans="1:3" x14ac:dyDescent="0.1">
      <c r="A642" s="1" t="s">
        <v>1371</v>
      </c>
      <c r="B642" s="1" t="s">
        <v>1370</v>
      </c>
      <c r="C642" s="1" t="s">
        <v>1372</v>
      </c>
    </row>
    <row r="643" spans="1:3" x14ac:dyDescent="0.1">
      <c r="A643" s="1" t="s">
        <v>1373</v>
      </c>
      <c r="B643" s="1" t="s">
        <v>1370</v>
      </c>
      <c r="C643" s="1" t="s">
        <v>1374</v>
      </c>
    </row>
    <row r="644" spans="1:3" x14ac:dyDescent="0.1">
      <c r="A644" s="1" t="s">
        <v>1375</v>
      </c>
      <c r="B644" s="1" t="s">
        <v>1370</v>
      </c>
      <c r="C644" s="1" t="s">
        <v>1376</v>
      </c>
    </row>
    <row r="645" spans="1:3" x14ac:dyDescent="0.1">
      <c r="A645" s="1" t="s">
        <v>1377</v>
      </c>
      <c r="B645" s="1" t="s">
        <v>1370</v>
      </c>
      <c r="C645" s="1" t="s">
        <v>1378</v>
      </c>
    </row>
    <row r="646" spans="1:3" x14ac:dyDescent="0.1">
      <c r="A646" s="1" t="s">
        <v>1379</v>
      </c>
      <c r="B646" s="1" t="s">
        <v>1370</v>
      </c>
      <c r="C646" s="1" t="s">
        <v>1380</v>
      </c>
    </row>
    <row r="647" spans="1:3" x14ac:dyDescent="0.1">
      <c r="A647" s="1" t="s">
        <v>1381</v>
      </c>
      <c r="B647" s="1" t="s">
        <v>1370</v>
      </c>
      <c r="C647" s="1" t="s">
        <v>1382</v>
      </c>
    </row>
    <row r="648" spans="1:3" x14ac:dyDescent="0.1">
      <c r="A648" s="1" t="s">
        <v>1383</v>
      </c>
      <c r="B648" s="1" t="s">
        <v>1370</v>
      </c>
      <c r="C648" s="1" t="s">
        <v>1384</v>
      </c>
    </row>
    <row r="649" spans="1:3" x14ac:dyDescent="0.1">
      <c r="A649" s="1" t="s">
        <v>1385</v>
      </c>
      <c r="B649" s="1" t="s">
        <v>1370</v>
      </c>
      <c r="C649" s="1" t="s">
        <v>1386</v>
      </c>
    </row>
    <row r="650" spans="1:3" x14ac:dyDescent="0.1">
      <c r="A650" s="1" t="s">
        <v>1387</v>
      </c>
      <c r="B650" s="1" t="s">
        <v>1370</v>
      </c>
      <c r="C650" s="1" t="s">
        <v>1388</v>
      </c>
    </row>
    <row r="651" spans="1:3" x14ac:dyDescent="0.1">
      <c r="A651" s="1" t="s">
        <v>1389</v>
      </c>
      <c r="B651" s="1" t="s">
        <v>1370</v>
      </c>
      <c r="C651" s="1" t="s">
        <v>1390</v>
      </c>
    </row>
    <row r="652" spans="1:3" x14ac:dyDescent="0.1">
      <c r="A652" s="1" t="s">
        <v>1391</v>
      </c>
      <c r="B652" s="1" t="s">
        <v>1370</v>
      </c>
      <c r="C652" s="1" t="s">
        <v>1392</v>
      </c>
    </row>
    <row r="653" spans="1:3" x14ac:dyDescent="0.1">
      <c r="A653" s="1" t="s">
        <v>1393</v>
      </c>
      <c r="B653" s="1" t="s">
        <v>1370</v>
      </c>
      <c r="C653" s="1" t="s">
        <v>1394</v>
      </c>
    </row>
    <row r="654" spans="1:3" x14ac:dyDescent="0.1">
      <c r="A654" s="1" t="s">
        <v>1395</v>
      </c>
      <c r="B654" s="1" t="s">
        <v>1370</v>
      </c>
      <c r="C654" s="1" t="s">
        <v>1396</v>
      </c>
    </row>
    <row r="655" spans="1:3" x14ac:dyDescent="0.1">
      <c r="A655" s="1" t="s">
        <v>1397</v>
      </c>
      <c r="B655" s="1" t="s">
        <v>1370</v>
      </c>
      <c r="C655" s="1" t="s">
        <v>1398</v>
      </c>
    </row>
    <row r="656" spans="1:3" x14ac:dyDescent="0.1">
      <c r="A656" s="1" t="s">
        <v>1399</v>
      </c>
      <c r="B656" s="1" t="s">
        <v>1370</v>
      </c>
      <c r="C656" s="1" t="s">
        <v>1400</v>
      </c>
    </row>
    <row r="657" spans="1:3" x14ac:dyDescent="0.1">
      <c r="A657" s="1" t="s">
        <v>1401</v>
      </c>
      <c r="B657" s="1" t="s">
        <v>1370</v>
      </c>
      <c r="C657" s="1" t="s">
        <v>1402</v>
      </c>
    </row>
    <row r="658" spans="1:3" x14ac:dyDescent="0.1">
      <c r="A658" s="1" t="s">
        <v>1403</v>
      </c>
      <c r="B658" s="1" t="s">
        <v>1370</v>
      </c>
      <c r="C658" s="1" t="s">
        <v>1404</v>
      </c>
    </row>
    <row r="659" spans="1:3" x14ac:dyDescent="0.1">
      <c r="A659" s="1" t="s">
        <v>1405</v>
      </c>
      <c r="B659" s="1" t="s">
        <v>1370</v>
      </c>
      <c r="C659" s="1" t="s">
        <v>1406</v>
      </c>
    </row>
    <row r="660" spans="1:3" x14ac:dyDescent="0.1">
      <c r="A660" s="1" t="s">
        <v>1407</v>
      </c>
      <c r="B660" s="1" t="s">
        <v>1370</v>
      </c>
      <c r="C660" s="1" t="s">
        <v>1408</v>
      </c>
    </row>
    <row r="661" spans="1:3" x14ac:dyDescent="0.1">
      <c r="A661" s="1" t="s">
        <v>1409</v>
      </c>
      <c r="B661" s="1" t="s">
        <v>1370</v>
      </c>
      <c r="C661" s="1" t="s">
        <v>1410</v>
      </c>
    </row>
    <row r="662" spans="1:3" x14ac:dyDescent="0.1">
      <c r="A662" s="1" t="s">
        <v>1411</v>
      </c>
      <c r="B662" s="1" t="s">
        <v>1370</v>
      </c>
      <c r="C662" s="1" t="s">
        <v>1412</v>
      </c>
    </row>
    <row r="663" spans="1:3" x14ac:dyDescent="0.1">
      <c r="A663" s="1" t="s">
        <v>1413</v>
      </c>
      <c r="B663" s="1" t="s">
        <v>1370</v>
      </c>
      <c r="C663" s="1" t="s">
        <v>1414</v>
      </c>
    </row>
    <row r="664" spans="1:3" x14ac:dyDescent="0.1">
      <c r="A664" s="1" t="s">
        <v>1415</v>
      </c>
      <c r="B664" s="1" t="s">
        <v>1370</v>
      </c>
      <c r="C664" s="1" t="s">
        <v>1416</v>
      </c>
    </row>
    <row r="665" spans="1:3" x14ac:dyDescent="0.1">
      <c r="A665" s="1" t="s">
        <v>1417</v>
      </c>
      <c r="B665" s="1" t="s">
        <v>1370</v>
      </c>
      <c r="C665" s="1" t="s">
        <v>1418</v>
      </c>
    </row>
    <row r="666" spans="1:3" x14ac:dyDescent="0.1">
      <c r="A666" s="1" t="s">
        <v>1419</v>
      </c>
      <c r="B666" s="1" t="s">
        <v>1370</v>
      </c>
      <c r="C666" s="1" t="s">
        <v>1420</v>
      </c>
    </row>
    <row r="667" spans="1:3" x14ac:dyDescent="0.1">
      <c r="A667" s="1" t="s">
        <v>1421</v>
      </c>
      <c r="B667" s="1" t="s">
        <v>1370</v>
      </c>
      <c r="C667" s="1" t="s">
        <v>1422</v>
      </c>
    </row>
    <row r="668" spans="1:3" x14ac:dyDescent="0.1">
      <c r="A668" s="1" t="s">
        <v>1423</v>
      </c>
      <c r="B668" s="1" t="s">
        <v>1370</v>
      </c>
      <c r="C668" s="1" t="s">
        <v>1424</v>
      </c>
    </row>
    <row r="669" spans="1:3" x14ac:dyDescent="0.1">
      <c r="A669" s="1" t="s">
        <v>1425</v>
      </c>
      <c r="B669" s="1" t="s">
        <v>1370</v>
      </c>
      <c r="C669" s="1" t="s">
        <v>1426</v>
      </c>
    </row>
    <row r="670" spans="1:3" x14ac:dyDescent="0.1">
      <c r="A670" s="1" t="s">
        <v>1427</v>
      </c>
      <c r="B670" s="1" t="s">
        <v>1370</v>
      </c>
      <c r="C670" s="1" t="s">
        <v>1428</v>
      </c>
    </row>
    <row r="671" spans="1:3" x14ac:dyDescent="0.1">
      <c r="A671" s="1" t="s">
        <v>1429</v>
      </c>
      <c r="B671" s="1" t="s">
        <v>1370</v>
      </c>
      <c r="C671" s="1" t="s">
        <v>1430</v>
      </c>
    </row>
    <row r="672" spans="1:3" x14ac:dyDescent="0.1">
      <c r="A672" s="1" t="s">
        <v>1431</v>
      </c>
      <c r="B672" s="1" t="s">
        <v>1370</v>
      </c>
      <c r="C672" s="1" t="s">
        <v>1432</v>
      </c>
    </row>
    <row r="673" spans="1:3" x14ac:dyDescent="0.1">
      <c r="A673" s="1" t="s">
        <v>1433</v>
      </c>
      <c r="B673" s="1" t="s">
        <v>1370</v>
      </c>
      <c r="C673" s="1" t="s">
        <v>1434</v>
      </c>
    </row>
    <row r="674" spans="1:3" x14ac:dyDescent="0.1">
      <c r="A674" s="1" t="s">
        <v>1435</v>
      </c>
      <c r="B674" s="1" t="s">
        <v>1370</v>
      </c>
      <c r="C674" s="1" t="s">
        <v>1436</v>
      </c>
    </row>
    <row r="675" spans="1:3" x14ac:dyDescent="0.1">
      <c r="A675" s="1" t="s">
        <v>1437</v>
      </c>
      <c r="B675" s="1" t="s">
        <v>1370</v>
      </c>
      <c r="C675" s="1" t="s">
        <v>1438</v>
      </c>
    </row>
    <row r="676" spans="1:3" x14ac:dyDescent="0.1">
      <c r="A676" s="1" t="s">
        <v>1439</v>
      </c>
      <c r="B676" s="1" t="s">
        <v>1370</v>
      </c>
      <c r="C676" s="1" t="s">
        <v>1440</v>
      </c>
    </row>
    <row r="677" spans="1:3" x14ac:dyDescent="0.1">
      <c r="A677" s="1" t="s">
        <v>1441</v>
      </c>
      <c r="B677" s="1" t="s">
        <v>1370</v>
      </c>
      <c r="C677" s="1" t="s">
        <v>1442</v>
      </c>
    </row>
    <row r="678" spans="1:3" x14ac:dyDescent="0.1">
      <c r="A678" s="1" t="s">
        <v>1443</v>
      </c>
      <c r="B678" s="1" t="s">
        <v>1370</v>
      </c>
      <c r="C678" s="1" t="s">
        <v>1444</v>
      </c>
    </row>
    <row r="679" spans="1:3" x14ac:dyDescent="0.1">
      <c r="A679" s="1" t="s">
        <v>1445</v>
      </c>
      <c r="B679" s="1" t="s">
        <v>1370</v>
      </c>
      <c r="C679" s="1" t="s">
        <v>1446</v>
      </c>
    </row>
    <row r="680" spans="1:3" x14ac:dyDescent="0.1">
      <c r="A680" s="1" t="s">
        <v>1447</v>
      </c>
      <c r="B680" s="1" t="s">
        <v>1370</v>
      </c>
      <c r="C680" s="1" t="s">
        <v>1448</v>
      </c>
    </row>
    <row r="681" spans="1:3" x14ac:dyDescent="0.1">
      <c r="A681" s="1" t="s">
        <v>1449</v>
      </c>
      <c r="B681" s="1" t="s">
        <v>1370</v>
      </c>
      <c r="C681" s="1" t="s">
        <v>1450</v>
      </c>
    </row>
    <row r="682" spans="1:3" x14ac:dyDescent="0.1">
      <c r="A682" s="1" t="s">
        <v>1451</v>
      </c>
      <c r="B682" s="1" t="s">
        <v>1370</v>
      </c>
      <c r="C682" s="1" t="s">
        <v>1452</v>
      </c>
    </row>
    <row r="683" spans="1:3" x14ac:dyDescent="0.1">
      <c r="A683" s="1" t="s">
        <v>1453</v>
      </c>
      <c r="B683" s="1" t="s">
        <v>1370</v>
      </c>
      <c r="C683" s="1" t="s">
        <v>1454</v>
      </c>
    </row>
    <row r="684" spans="1:3" x14ac:dyDescent="0.1">
      <c r="A684" s="1" t="s">
        <v>1455</v>
      </c>
      <c r="B684" s="1" t="s">
        <v>1370</v>
      </c>
      <c r="C684" s="1" t="s">
        <v>1456</v>
      </c>
    </row>
    <row r="685" spans="1:3" x14ac:dyDescent="0.1">
      <c r="A685" s="1" t="s">
        <v>1457</v>
      </c>
      <c r="B685" s="1" t="s">
        <v>1370</v>
      </c>
      <c r="C685" s="1" t="s">
        <v>1458</v>
      </c>
    </row>
    <row r="686" spans="1:3" x14ac:dyDescent="0.1">
      <c r="A686" s="1" t="s">
        <v>1459</v>
      </c>
      <c r="B686" s="1" t="s">
        <v>1370</v>
      </c>
      <c r="C686" s="1" t="s">
        <v>1460</v>
      </c>
    </row>
    <row r="687" spans="1:3" x14ac:dyDescent="0.1">
      <c r="A687" s="1" t="s">
        <v>1461</v>
      </c>
      <c r="B687" s="1" t="s">
        <v>1370</v>
      </c>
      <c r="C687" s="1" t="s">
        <v>1462</v>
      </c>
    </row>
    <row r="688" spans="1:3" x14ac:dyDescent="0.1">
      <c r="A688" s="1" t="s">
        <v>1463</v>
      </c>
      <c r="B688" s="1" t="s">
        <v>1370</v>
      </c>
      <c r="C688" s="1" t="s">
        <v>1464</v>
      </c>
    </row>
    <row r="689" spans="1:3" x14ac:dyDescent="0.1">
      <c r="A689" s="1" t="s">
        <v>1465</v>
      </c>
      <c r="B689" s="1" t="s">
        <v>1370</v>
      </c>
      <c r="C689" s="1" t="s">
        <v>1466</v>
      </c>
    </row>
    <row r="690" spans="1:3" x14ac:dyDescent="0.1">
      <c r="A690" s="1" t="s">
        <v>1467</v>
      </c>
      <c r="B690" s="1" t="s">
        <v>1370</v>
      </c>
      <c r="C690" s="1" t="s">
        <v>1468</v>
      </c>
    </row>
    <row r="691" spans="1:3" x14ac:dyDescent="0.1">
      <c r="A691" s="1" t="s">
        <v>1469</v>
      </c>
      <c r="B691" s="1" t="s">
        <v>1370</v>
      </c>
      <c r="C691" s="1" t="s">
        <v>1470</v>
      </c>
    </row>
    <row r="692" spans="1:3" x14ac:dyDescent="0.1">
      <c r="A692" s="1" t="s">
        <v>1471</v>
      </c>
      <c r="B692" s="1" t="s">
        <v>1370</v>
      </c>
      <c r="C692" s="1" t="s">
        <v>1472</v>
      </c>
    </row>
    <row r="693" spans="1:3" x14ac:dyDescent="0.1">
      <c r="A693" s="1" t="s">
        <v>1473</v>
      </c>
      <c r="B693" s="1" t="s">
        <v>1370</v>
      </c>
      <c r="C693" s="1" t="s">
        <v>1474</v>
      </c>
    </row>
    <row r="694" spans="1:3" x14ac:dyDescent="0.1">
      <c r="A694" s="1" t="s">
        <v>1475</v>
      </c>
      <c r="B694" s="1" t="s">
        <v>1370</v>
      </c>
      <c r="C694" s="1" t="s">
        <v>1476</v>
      </c>
    </row>
    <row r="695" spans="1:3" x14ac:dyDescent="0.1">
      <c r="A695" s="1" t="s">
        <v>1477</v>
      </c>
      <c r="B695" s="1" t="s">
        <v>1370</v>
      </c>
      <c r="C695" s="1" t="s">
        <v>1478</v>
      </c>
    </row>
    <row r="696" spans="1:3" x14ac:dyDescent="0.1">
      <c r="A696" s="1" t="s">
        <v>1479</v>
      </c>
      <c r="B696" s="1" t="s">
        <v>1370</v>
      </c>
      <c r="C696" s="1" t="s">
        <v>1480</v>
      </c>
    </row>
    <row r="697" spans="1:3" x14ac:dyDescent="0.1">
      <c r="A697" s="1" t="s">
        <v>1481</v>
      </c>
      <c r="B697" s="1" t="s">
        <v>1370</v>
      </c>
      <c r="C697" s="1" t="s">
        <v>1482</v>
      </c>
    </row>
    <row r="698" spans="1:3" x14ac:dyDescent="0.1">
      <c r="A698" s="1" t="s">
        <v>1483</v>
      </c>
      <c r="B698" s="1" t="s">
        <v>1370</v>
      </c>
      <c r="C698" s="1" t="s">
        <v>1484</v>
      </c>
    </row>
    <row r="699" spans="1:3" x14ac:dyDescent="0.1">
      <c r="A699" s="1" t="s">
        <v>1485</v>
      </c>
      <c r="B699" s="1" t="s">
        <v>1370</v>
      </c>
      <c r="C699" s="1" t="s">
        <v>1486</v>
      </c>
    </row>
    <row r="700" spans="1:3" x14ac:dyDescent="0.1">
      <c r="A700" s="1" t="s">
        <v>1487</v>
      </c>
      <c r="B700" s="1" t="s">
        <v>1370</v>
      </c>
      <c r="C700" s="1" t="s">
        <v>1488</v>
      </c>
    </row>
    <row r="701" spans="1:3" x14ac:dyDescent="0.1">
      <c r="A701" s="1" t="s">
        <v>1489</v>
      </c>
      <c r="B701" s="1" t="s">
        <v>1370</v>
      </c>
      <c r="C701" s="1" t="s">
        <v>1490</v>
      </c>
    </row>
    <row r="702" spans="1:3" x14ac:dyDescent="0.1">
      <c r="A702" s="1" t="s">
        <v>1491</v>
      </c>
      <c r="B702" s="1" t="s">
        <v>1370</v>
      </c>
      <c r="C702" s="1" t="s">
        <v>1492</v>
      </c>
    </row>
    <row r="703" spans="1:3" x14ac:dyDescent="0.1">
      <c r="A703" s="1" t="s">
        <v>1493</v>
      </c>
      <c r="B703" s="1" t="s">
        <v>1370</v>
      </c>
      <c r="C703" s="1" t="s">
        <v>1494</v>
      </c>
    </row>
    <row r="704" spans="1:3" x14ac:dyDescent="0.1">
      <c r="A704" s="5" t="s">
        <v>1495</v>
      </c>
      <c r="B704" s="5" t="s">
        <v>1496</v>
      </c>
      <c r="C704" s="2"/>
    </row>
    <row r="705" spans="1:3" x14ac:dyDescent="0.1">
      <c r="A705" s="1" t="s">
        <v>1497</v>
      </c>
      <c r="B705" s="1" t="s">
        <v>1496</v>
      </c>
      <c r="C705" s="1" t="s">
        <v>1498</v>
      </c>
    </row>
    <row r="706" spans="1:3" x14ac:dyDescent="0.1">
      <c r="A706" s="1" t="s">
        <v>1499</v>
      </c>
      <c r="B706" s="1" t="s">
        <v>1496</v>
      </c>
      <c r="C706" s="1" t="s">
        <v>1500</v>
      </c>
    </row>
    <row r="707" spans="1:3" x14ac:dyDescent="0.1">
      <c r="A707" s="1" t="s">
        <v>1501</v>
      </c>
      <c r="B707" s="1" t="s">
        <v>1496</v>
      </c>
      <c r="C707" s="1" t="s">
        <v>1502</v>
      </c>
    </row>
    <row r="708" spans="1:3" x14ac:dyDescent="0.1">
      <c r="A708" s="1" t="s">
        <v>1503</v>
      </c>
      <c r="B708" s="1" t="s">
        <v>1496</v>
      </c>
      <c r="C708" s="1" t="s">
        <v>1504</v>
      </c>
    </row>
    <row r="709" spans="1:3" x14ac:dyDescent="0.1">
      <c r="A709" s="1" t="s">
        <v>1505</v>
      </c>
      <c r="B709" s="1" t="s">
        <v>1496</v>
      </c>
      <c r="C709" s="1" t="s">
        <v>1506</v>
      </c>
    </row>
    <row r="710" spans="1:3" x14ac:dyDescent="0.1">
      <c r="A710" s="1" t="s">
        <v>1507</v>
      </c>
      <c r="B710" s="1" t="s">
        <v>1496</v>
      </c>
      <c r="C710" s="1" t="s">
        <v>1508</v>
      </c>
    </row>
    <row r="711" spans="1:3" x14ac:dyDescent="0.1">
      <c r="A711" s="1" t="s">
        <v>1509</v>
      </c>
      <c r="B711" s="1" t="s">
        <v>1496</v>
      </c>
      <c r="C711" s="1" t="s">
        <v>1510</v>
      </c>
    </row>
    <row r="712" spans="1:3" x14ac:dyDescent="0.1">
      <c r="A712" s="1" t="s">
        <v>1511</v>
      </c>
      <c r="B712" s="1" t="s">
        <v>1496</v>
      </c>
      <c r="C712" s="1" t="s">
        <v>1512</v>
      </c>
    </row>
    <row r="713" spans="1:3" x14ac:dyDescent="0.1">
      <c r="A713" s="1" t="s">
        <v>1513</v>
      </c>
      <c r="B713" s="1" t="s">
        <v>1496</v>
      </c>
      <c r="C713" s="1" t="s">
        <v>1514</v>
      </c>
    </row>
    <row r="714" spans="1:3" x14ac:dyDescent="0.1">
      <c r="A714" s="1" t="s">
        <v>1515</v>
      </c>
      <c r="B714" s="1" t="s">
        <v>1496</v>
      </c>
      <c r="C714" s="1" t="s">
        <v>1516</v>
      </c>
    </row>
    <row r="715" spans="1:3" x14ac:dyDescent="0.1">
      <c r="A715" s="1" t="s">
        <v>1517</v>
      </c>
      <c r="B715" s="1" t="s">
        <v>1496</v>
      </c>
      <c r="C715" s="1" t="s">
        <v>1518</v>
      </c>
    </row>
    <row r="716" spans="1:3" x14ac:dyDescent="0.1">
      <c r="A716" s="1" t="s">
        <v>1519</v>
      </c>
      <c r="B716" s="1" t="s">
        <v>1496</v>
      </c>
      <c r="C716" s="1" t="s">
        <v>1520</v>
      </c>
    </row>
    <row r="717" spans="1:3" x14ac:dyDescent="0.1">
      <c r="A717" s="1" t="s">
        <v>1521</v>
      </c>
      <c r="B717" s="1" t="s">
        <v>1496</v>
      </c>
      <c r="C717" s="1" t="s">
        <v>1522</v>
      </c>
    </row>
    <row r="718" spans="1:3" x14ac:dyDescent="0.1">
      <c r="A718" s="1" t="s">
        <v>1523</v>
      </c>
      <c r="B718" s="1" t="s">
        <v>1496</v>
      </c>
      <c r="C718" s="1" t="s">
        <v>1524</v>
      </c>
    </row>
    <row r="719" spans="1:3" x14ac:dyDescent="0.1">
      <c r="A719" s="1" t="s">
        <v>1525</v>
      </c>
      <c r="B719" s="1" t="s">
        <v>1496</v>
      </c>
      <c r="C719" s="1" t="s">
        <v>1526</v>
      </c>
    </row>
    <row r="720" spans="1:3" x14ac:dyDescent="0.1">
      <c r="A720" s="1" t="s">
        <v>1527</v>
      </c>
      <c r="B720" s="1" t="s">
        <v>1496</v>
      </c>
      <c r="C720" s="1" t="s">
        <v>1528</v>
      </c>
    </row>
    <row r="721" spans="1:3" x14ac:dyDescent="0.1">
      <c r="A721" s="1" t="s">
        <v>1529</v>
      </c>
      <c r="B721" s="1" t="s">
        <v>1496</v>
      </c>
      <c r="C721" s="1" t="s">
        <v>1530</v>
      </c>
    </row>
    <row r="722" spans="1:3" x14ac:dyDescent="0.1">
      <c r="A722" s="1" t="s">
        <v>1531</v>
      </c>
      <c r="B722" s="1" t="s">
        <v>1496</v>
      </c>
      <c r="C722" s="1" t="s">
        <v>1532</v>
      </c>
    </row>
    <row r="723" spans="1:3" x14ac:dyDescent="0.1">
      <c r="A723" s="1" t="s">
        <v>1533</v>
      </c>
      <c r="B723" s="1" t="s">
        <v>1496</v>
      </c>
      <c r="C723" s="1" t="s">
        <v>1534</v>
      </c>
    </row>
    <row r="724" spans="1:3" x14ac:dyDescent="0.1">
      <c r="A724" s="1" t="s">
        <v>1535</v>
      </c>
      <c r="B724" s="1" t="s">
        <v>1496</v>
      </c>
      <c r="C724" s="1" t="s">
        <v>1536</v>
      </c>
    </row>
    <row r="725" spans="1:3" x14ac:dyDescent="0.1">
      <c r="A725" s="1" t="s">
        <v>1537</v>
      </c>
      <c r="B725" s="1" t="s">
        <v>1496</v>
      </c>
      <c r="C725" s="1" t="s">
        <v>1538</v>
      </c>
    </row>
    <row r="726" spans="1:3" x14ac:dyDescent="0.1">
      <c r="A726" s="1" t="s">
        <v>1539</v>
      </c>
      <c r="B726" s="1" t="s">
        <v>1496</v>
      </c>
      <c r="C726" s="1" t="s">
        <v>1540</v>
      </c>
    </row>
    <row r="727" spans="1:3" x14ac:dyDescent="0.1">
      <c r="A727" s="1" t="s">
        <v>1541</v>
      </c>
      <c r="B727" s="1" t="s">
        <v>1496</v>
      </c>
      <c r="C727" s="1" t="s">
        <v>1542</v>
      </c>
    </row>
    <row r="728" spans="1:3" x14ac:dyDescent="0.1">
      <c r="A728" s="1" t="s">
        <v>1543</v>
      </c>
      <c r="B728" s="1" t="s">
        <v>1496</v>
      </c>
      <c r="C728" s="1" t="s">
        <v>1544</v>
      </c>
    </row>
    <row r="729" spans="1:3" x14ac:dyDescent="0.1">
      <c r="A729" s="1" t="s">
        <v>1545</v>
      </c>
      <c r="B729" s="1" t="s">
        <v>1496</v>
      </c>
      <c r="C729" s="1" t="s">
        <v>1546</v>
      </c>
    </row>
    <row r="730" spans="1:3" x14ac:dyDescent="0.1">
      <c r="A730" s="1" t="s">
        <v>1547</v>
      </c>
      <c r="B730" s="1" t="s">
        <v>1496</v>
      </c>
      <c r="C730" s="1" t="s">
        <v>1548</v>
      </c>
    </row>
    <row r="731" spans="1:3" x14ac:dyDescent="0.1">
      <c r="A731" s="1" t="s">
        <v>1549</v>
      </c>
      <c r="B731" s="1" t="s">
        <v>1496</v>
      </c>
      <c r="C731" s="1" t="s">
        <v>1550</v>
      </c>
    </row>
    <row r="732" spans="1:3" x14ac:dyDescent="0.1">
      <c r="A732" s="1" t="s">
        <v>1551</v>
      </c>
      <c r="B732" s="1" t="s">
        <v>1496</v>
      </c>
      <c r="C732" s="1" t="s">
        <v>1552</v>
      </c>
    </row>
    <row r="733" spans="1:3" x14ac:dyDescent="0.1">
      <c r="A733" s="1" t="s">
        <v>1553</v>
      </c>
      <c r="B733" s="1" t="s">
        <v>1496</v>
      </c>
      <c r="C733" s="1" t="s">
        <v>1554</v>
      </c>
    </row>
    <row r="734" spans="1:3" x14ac:dyDescent="0.1">
      <c r="A734" s="1" t="s">
        <v>1555</v>
      </c>
      <c r="B734" s="1" t="s">
        <v>1496</v>
      </c>
      <c r="C734" s="1" t="s">
        <v>1556</v>
      </c>
    </row>
    <row r="735" spans="1:3" x14ac:dyDescent="0.1">
      <c r="A735" s="1" t="s">
        <v>1557</v>
      </c>
      <c r="B735" s="1" t="s">
        <v>1496</v>
      </c>
      <c r="C735" s="1" t="s">
        <v>1558</v>
      </c>
    </row>
    <row r="736" spans="1:3" x14ac:dyDescent="0.1">
      <c r="A736" s="1" t="s">
        <v>1559</v>
      </c>
      <c r="B736" s="1" t="s">
        <v>1496</v>
      </c>
      <c r="C736" s="1" t="s">
        <v>1560</v>
      </c>
    </row>
    <row r="737" spans="1:3" x14ac:dyDescent="0.1">
      <c r="A737" s="1" t="s">
        <v>1561</v>
      </c>
      <c r="B737" s="1" t="s">
        <v>1496</v>
      </c>
      <c r="C737" s="1" t="s">
        <v>1562</v>
      </c>
    </row>
    <row r="738" spans="1:3" x14ac:dyDescent="0.1">
      <c r="A738" s="5" t="s">
        <v>1563</v>
      </c>
      <c r="B738" s="5" t="s">
        <v>1564</v>
      </c>
      <c r="C738" s="2"/>
    </row>
    <row r="739" spans="1:3" x14ac:dyDescent="0.1">
      <c r="A739" s="1" t="s">
        <v>1565</v>
      </c>
      <c r="B739" s="1" t="s">
        <v>1564</v>
      </c>
      <c r="C739" s="1" t="s">
        <v>1566</v>
      </c>
    </row>
    <row r="740" spans="1:3" x14ac:dyDescent="0.1">
      <c r="A740" s="1" t="s">
        <v>1567</v>
      </c>
      <c r="B740" s="1" t="s">
        <v>1564</v>
      </c>
      <c r="C740" s="1" t="s">
        <v>1568</v>
      </c>
    </row>
    <row r="741" spans="1:3" x14ac:dyDescent="0.1">
      <c r="A741" s="1" t="s">
        <v>1569</v>
      </c>
      <c r="B741" s="1" t="s">
        <v>1564</v>
      </c>
      <c r="C741" s="1" t="s">
        <v>1570</v>
      </c>
    </row>
    <row r="742" spans="1:3" x14ac:dyDescent="0.1">
      <c r="A742" s="1" t="s">
        <v>1571</v>
      </c>
      <c r="B742" s="1" t="s">
        <v>1564</v>
      </c>
      <c r="C742" s="1" t="s">
        <v>1572</v>
      </c>
    </row>
    <row r="743" spans="1:3" x14ac:dyDescent="0.1">
      <c r="A743" s="1" t="s">
        <v>1573</v>
      </c>
      <c r="B743" s="1" t="s">
        <v>1564</v>
      </c>
      <c r="C743" s="1" t="s">
        <v>1574</v>
      </c>
    </row>
    <row r="744" spans="1:3" x14ac:dyDescent="0.1">
      <c r="A744" s="1" t="s">
        <v>1575</v>
      </c>
      <c r="B744" s="1" t="s">
        <v>1564</v>
      </c>
      <c r="C744" s="1" t="s">
        <v>1576</v>
      </c>
    </row>
    <row r="745" spans="1:3" x14ac:dyDescent="0.1">
      <c r="A745" s="1" t="s">
        <v>1577</v>
      </c>
      <c r="B745" s="1" t="s">
        <v>1564</v>
      </c>
      <c r="C745" s="1" t="s">
        <v>1578</v>
      </c>
    </row>
    <row r="746" spans="1:3" x14ac:dyDescent="0.1">
      <c r="A746" s="1" t="s">
        <v>1579</v>
      </c>
      <c r="B746" s="1" t="s">
        <v>1564</v>
      </c>
      <c r="C746" s="1" t="s">
        <v>1580</v>
      </c>
    </row>
    <row r="747" spans="1:3" x14ac:dyDescent="0.1">
      <c r="A747" s="1" t="s">
        <v>1581</v>
      </c>
      <c r="B747" s="1" t="s">
        <v>1564</v>
      </c>
      <c r="C747" s="1" t="s">
        <v>1582</v>
      </c>
    </row>
    <row r="748" spans="1:3" x14ac:dyDescent="0.1">
      <c r="A748" s="1" t="s">
        <v>1583</v>
      </c>
      <c r="B748" s="1" t="s">
        <v>1564</v>
      </c>
      <c r="C748" s="1" t="s">
        <v>1584</v>
      </c>
    </row>
    <row r="749" spans="1:3" x14ac:dyDescent="0.1">
      <c r="A749" s="1" t="s">
        <v>1585</v>
      </c>
      <c r="B749" s="1" t="s">
        <v>1564</v>
      </c>
      <c r="C749" s="1" t="s">
        <v>1586</v>
      </c>
    </row>
    <row r="750" spans="1:3" x14ac:dyDescent="0.1">
      <c r="A750" s="1" t="s">
        <v>1587</v>
      </c>
      <c r="B750" s="1" t="s">
        <v>1564</v>
      </c>
      <c r="C750" s="1" t="s">
        <v>1588</v>
      </c>
    </row>
    <row r="751" spans="1:3" x14ac:dyDescent="0.1">
      <c r="A751" s="1" t="s">
        <v>1589</v>
      </c>
      <c r="B751" s="1" t="s">
        <v>1564</v>
      </c>
      <c r="C751" s="1" t="s">
        <v>1590</v>
      </c>
    </row>
    <row r="752" spans="1:3" x14ac:dyDescent="0.1">
      <c r="A752" s="1" t="s">
        <v>1591</v>
      </c>
      <c r="B752" s="1" t="s">
        <v>1564</v>
      </c>
      <c r="C752" s="1" t="s">
        <v>1592</v>
      </c>
    </row>
    <row r="753" spans="1:3" x14ac:dyDescent="0.1">
      <c r="A753" s="1" t="s">
        <v>1593</v>
      </c>
      <c r="B753" s="1" t="s">
        <v>1564</v>
      </c>
      <c r="C753" s="1" t="s">
        <v>1594</v>
      </c>
    </row>
    <row r="754" spans="1:3" x14ac:dyDescent="0.1">
      <c r="A754" s="1" t="s">
        <v>1595</v>
      </c>
      <c r="B754" s="1" t="s">
        <v>1564</v>
      </c>
      <c r="C754" s="1" t="s">
        <v>1596</v>
      </c>
    </row>
    <row r="755" spans="1:3" x14ac:dyDescent="0.1">
      <c r="A755" s="1" t="s">
        <v>1597</v>
      </c>
      <c r="B755" s="1" t="s">
        <v>1564</v>
      </c>
      <c r="C755" s="1" t="s">
        <v>1598</v>
      </c>
    </row>
    <row r="756" spans="1:3" x14ac:dyDescent="0.1">
      <c r="A756" s="1" t="s">
        <v>1599</v>
      </c>
      <c r="B756" s="1" t="s">
        <v>1564</v>
      </c>
      <c r="C756" s="1" t="s">
        <v>1600</v>
      </c>
    </row>
    <row r="757" spans="1:3" x14ac:dyDescent="0.1">
      <c r="A757" s="1" t="s">
        <v>1601</v>
      </c>
      <c r="B757" s="1" t="s">
        <v>1564</v>
      </c>
      <c r="C757" s="1" t="s">
        <v>1602</v>
      </c>
    </row>
    <row r="758" spans="1:3" x14ac:dyDescent="0.1">
      <c r="A758" s="1" t="s">
        <v>1603</v>
      </c>
      <c r="B758" s="1" t="s">
        <v>1564</v>
      </c>
      <c r="C758" s="1" t="s">
        <v>1604</v>
      </c>
    </row>
    <row r="759" spans="1:3" x14ac:dyDescent="0.1">
      <c r="A759" s="1" t="s">
        <v>1605</v>
      </c>
      <c r="B759" s="1" t="s">
        <v>1564</v>
      </c>
      <c r="C759" s="1" t="s">
        <v>1606</v>
      </c>
    </row>
    <row r="760" spans="1:3" x14ac:dyDescent="0.1">
      <c r="A760" s="1" t="s">
        <v>1607</v>
      </c>
      <c r="B760" s="1" t="s">
        <v>1564</v>
      </c>
      <c r="C760" s="1" t="s">
        <v>1608</v>
      </c>
    </row>
    <row r="761" spans="1:3" x14ac:dyDescent="0.1">
      <c r="A761" s="1" t="s">
        <v>1609</v>
      </c>
      <c r="B761" s="1" t="s">
        <v>1564</v>
      </c>
      <c r="C761" s="1" t="s">
        <v>1610</v>
      </c>
    </row>
    <row r="762" spans="1:3" x14ac:dyDescent="0.1">
      <c r="A762" s="1" t="s">
        <v>1611</v>
      </c>
      <c r="B762" s="1" t="s">
        <v>1564</v>
      </c>
      <c r="C762" s="1" t="s">
        <v>1612</v>
      </c>
    </row>
    <row r="763" spans="1:3" x14ac:dyDescent="0.1">
      <c r="A763" s="1" t="s">
        <v>1613</v>
      </c>
      <c r="B763" s="1" t="s">
        <v>1564</v>
      </c>
      <c r="C763" s="1" t="s">
        <v>1614</v>
      </c>
    </row>
    <row r="764" spans="1:3" x14ac:dyDescent="0.1">
      <c r="A764" s="1" t="s">
        <v>1615</v>
      </c>
      <c r="B764" s="1" t="s">
        <v>1564</v>
      </c>
      <c r="C764" s="1" t="s">
        <v>1616</v>
      </c>
    </row>
    <row r="765" spans="1:3" x14ac:dyDescent="0.1">
      <c r="A765" s="1" t="s">
        <v>1617</v>
      </c>
      <c r="B765" s="1" t="s">
        <v>1564</v>
      </c>
      <c r="C765" s="1" t="s">
        <v>1618</v>
      </c>
    </row>
    <row r="766" spans="1:3" x14ac:dyDescent="0.1">
      <c r="A766" s="1" t="s">
        <v>1619</v>
      </c>
      <c r="B766" s="1" t="s">
        <v>1564</v>
      </c>
      <c r="C766" s="1" t="s">
        <v>1620</v>
      </c>
    </row>
    <row r="767" spans="1:3" x14ac:dyDescent="0.1">
      <c r="A767" s="1" t="s">
        <v>1621</v>
      </c>
      <c r="B767" s="1" t="s">
        <v>1564</v>
      </c>
      <c r="C767" s="1" t="s">
        <v>1622</v>
      </c>
    </row>
    <row r="768" spans="1:3" x14ac:dyDescent="0.1">
      <c r="A768" s="1" t="s">
        <v>1623</v>
      </c>
      <c r="B768" s="1" t="s">
        <v>1564</v>
      </c>
      <c r="C768" s="1" t="s">
        <v>1624</v>
      </c>
    </row>
    <row r="769" spans="1:3" x14ac:dyDescent="0.1">
      <c r="A769" s="5" t="s">
        <v>1625</v>
      </c>
      <c r="B769" s="5" t="s">
        <v>1626</v>
      </c>
      <c r="C769" s="2"/>
    </row>
    <row r="770" spans="1:3" x14ac:dyDescent="0.1">
      <c r="A770" s="1" t="s">
        <v>1627</v>
      </c>
      <c r="B770" s="1" t="s">
        <v>1626</v>
      </c>
      <c r="C770" s="1" t="s">
        <v>1628</v>
      </c>
    </row>
    <row r="771" spans="1:3" x14ac:dyDescent="0.1">
      <c r="A771" s="1" t="s">
        <v>1629</v>
      </c>
      <c r="B771" s="1" t="s">
        <v>1626</v>
      </c>
      <c r="C771" s="1" t="s">
        <v>1630</v>
      </c>
    </row>
    <row r="772" spans="1:3" x14ac:dyDescent="0.1">
      <c r="A772" s="1" t="s">
        <v>1631</v>
      </c>
      <c r="B772" s="1" t="s">
        <v>1626</v>
      </c>
      <c r="C772" s="1" t="s">
        <v>1632</v>
      </c>
    </row>
    <row r="773" spans="1:3" x14ac:dyDescent="0.1">
      <c r="A773" s="1" t="s">
        <v>1633</v>
      </c>
      <c r="B773" s="1" t="s">
        <v>1626</v>
      </c>
      <c r="C773" s="1" t="s">
        <v>1634</v>
      </c>
    </row>
    <row r="774" spans="1:3" x14ac:dyDescent="0.1">
      <c r="A774" s="1" t="s">
        <v>1635</v>
      </c>
      <c r="B774" s="1" t="s">
        <v>1626</v>
      </c>
      <c r="C774" s="1" t="s">
        <v>1636</v>
      </c>
    </row>
    <row r="775" spans="1:3" x14ac:dyDescent="0.1">
      <c r="A775" s="1" t="s">
        <v>1637</v>
      </c>
      <c r="B775" s="1" t="s">
        <v>1626</v>
      </c>
      <c r="C775" s="1" t="s">
        <v>1638</v>
      </c>
    </row>
    <row r="776" spans="1:3" x14ac:dyDescent="0.1">
      <c r="A776" s="1" t="s">
        <v>1639</v>
      </c>
      <c r="B776" s="1" t="s">
        <v>1626</v>
      </c>
      <c r="C776" s="1" t="s">
        <v>1640</v>
      </c>
    </row>
    <row r="777" spans="1:3" x14ac:dyDescent="0.1">
      <c r="A777" s="1" t="s">
        <v>1641</v>
      </c>
      <c r="B777" s="1" t="s">
        <v>1626</v>
      </c>
      <c r="C777" s="1" t="s">
        <v>1642</v>
      </c>
    </row>
    <row r="778" spans="1:3" x14ac:dyDescent="0.1">
      <c r="A778" s="1" t="s">
        <v>1643</v>
      </c>
      <c r="B778" s="1" t="s">
        <v>1626</v>
      </c>
      <c r="C778" s="1" t="s">
        <v>1644</v>
      </c>
    </row>
    <row r="779" spans="1:3" x14ac:dyDescent="0.1">
      <c r="A779" s="1" t="s">
        <v>1645</v>
      </c>
      <c r="B779" s="1" t="s">
        <v>1626</v>
      </c>
      <c r="C779" s="1" t="s">
        <v>1646</v>
      </c>
    </row>
    <row r="780" spans="1:3" x14ac:dyDescent="0.1">
      <c r="A780" s="1" t="s">
        <v>1647</v>
      </c>
      <c r="B780" s="1" t="s">
        <v>1626</v>
      </c>
      <c r="C780" s="1" t="s">
        <v>1648</v>
      </c>
    </row>
    <row r="781" spans="1:3" x14ac:dyDescent="0.1">
      <c r="A781" s="1" t="s">
        <v>1649</v>
      </c>
      <c r="B781" s="1" t="s">
        <v>1626</v>
      </c>
      <c r="C781" s="1" t="s">
        <v>1650</v>
      </c>
    </row>
    <row r="782" spans="1:3" x14ac:dyDescent="0.1">
      <c r="A782" s="1" t="s">
        <v>1651</v>
      </c>
      <c r="B782" s="1" t="s">
        <v>1626</v>
      </c>
      <c r="C782" s="1" t="s">
        <v>1652</v>
      </c>
    </row>
    <row r="783" spans="1:3" x14ac:dyDescent="0.1">
      <c r="A783" s="1" t="s">
        <v>1653</v>
      </c>
      <c r="B783" s="1" t="s">
        <v>1626</v>
      </c>
      <c r="C783" s="1" t="s">
        <v>1654</v>
      </c>
    </row>
    <row r="784" spans="1:3" x14ac:dyDescent="0.1">
      <c r="A784" s="1" t="s">
        <v>1655</v>
      </c>
      <c r="B784" s="1" t="s">
        <v>1626</v>
      </c>
      <c r="C784" s="1" t="s">
        <v>768</v>
      </c>
    </row>
    <row r="785" spans="1:3" x14ac:dyDescent="0.1">
      <c r="A785" s="5" t="s">
        <v>1656</v>
      </c>
      <c r="B785" s="5" t="s">
        <v>1657</v>
      </c>
      <c r="C785" s="2"/>
    </row>
    <row r="786" spans="1:3" x14ac:dyDescent="0.1">
      <c r="A786" s="1" t="s">
        <v>1658</v>
      </c>
      <c r="B786" s="1" t="s">
        <v>1657</v>
      </c>
      <c r="C786" s="1" t="s">
        <v>1659</v>
      </c>
    </row>
    <row r="787" spans="1:3" x14ac:dyDescent="0.1">
      <c r="A787" s="1" t="s">
        <v>1660</v>
      </c>
      <c r="B787" s="1" t="s">
        <v>1657</v>
      </c>
      <c r="C787" s="1" t="s">
        <v>1661</v>
      </c>
    </row>
    <row r="788" spans="1:3" x14ac:dyDescent="0.1">
      <c r="A788" s="1" t="s">
        <v>1662</v>
      </c>
      <c r="B788" s="1" t="s">
        <v>1657</v>
      </c>
      <c r="C788" s="1" t="s">
        <v>1663</v>
      </c>
    </row>
    <row r="789" spans="1:3" x14ac:dyDescent="0.1">
      <c r="A789" s="1" t="s">
        <v>1664</v>
      </c>
      <c r="B789" s="1" t="s">
        <v>1657</v>
      </c>
      <c r="C789" s="1" t="s">
        <v>1665</v>
      </c>
    </row>
    <row r="790" spans="1:3" x14ac:dyDescent="0.1">
      <c r="A790" s="1" t="s">
        <v>1666</v>
      </c>
      <c r="B790" s="1" t="s">
        <v>1657</v>
      </c>
      <c r="C790" s="1" t="s">
        <v>1667</v>
      </c>
    </row>
    <row r="791" spans="1:3" x14ac:dyDescent="0.1">
      <c r="A791" s="1" t="s">
        <v>1668</v>
      </c>
      <c r="B791" s="1" t="s">
        <v>1657</v>
      </c>
      <c r="C791" s="1" t="s">
        <v>1669</v>
      </c>
    </row>
    <row r="792" spans="1:3" x14ac:dyDescent="0.1">
      <c r="A792" s="1" t="s">
        <v>1670</v>
      </c>
      <c r="B792" s="1" t="s">
        <v>1657</v>
      </c>
      <c r="C792" s="1" t="s">
        <v>1671</v>
      </c>
    </row>
    <row r="793" spans="1:3" x14ac:dyDescent="0.1">
      <c r="A793" s="1" t="s">
        <v>1672</v>
      </c>
      <c r="B793" s="1" t="s">
        <v>1657</v>
      </c>
      <c r="C793" s="1" t="s">
        <v>1673</v>
      </c>
    </row>
    <row r="794" spans="1:3" x14ac:dyDescent="0.1">
      <c r="A794" s="1" t="s">
        <v>1674</v>
      </c>
      <c r="B794" s="1" t="s">
        <v>1657</v>
      </c>
      <c r="C794" s="1" t="s">
        <v>1675</v>
      </c>
    </row>
    <row r="795" spans="1:3" x14ac:dyDescent="0.1">
      <c r="A795" s="1" t="s">
        <v>1676</v>
      </c>
      <c r="B795" s="1" t="s">
        <v>1657</v>
      </c>
      <c r="C795" s="1" t="s">
        <v>1677</v>
      </c>
    </row>
    <row r="796" spans="1:3" x14ac:dyDescent="0.1">
      <c r="A796" s="1" t="s">
        <v>1678</v>
      </c>
      <c r="B796" s="1" t="s">
        <v>1657</v>
      </c>
      <c r="C796" s="1" t="s">
        <v>1679</v>
      </c>
    </row>
    <row r="797" spans="1:3" x14ac:dyDescent="0.1">
      <c r="A797" s="1" t="s">
        <v>1680</v>
      </c>
      <c r="B797" s="1" t="s">
        <v>1657</v>
      </c>
      <c r="C797" s="1" t="s">
        <v>1681</v>
      </c>
    </row>
    <row r="798" spans="1:3" x14ac:dyDescent="0.1">
      <c r="A798" s="1" t="s">
        <v>1682</v>
      </c>
      <c r="B798" s="1" t="s">
        <v>1657</v>
      </c>
      <c r="C798" s="1" t="s">
        <v>1683</v>
      </c>
    </row>
    <row r="799" spans="1:3" x14ac:dyDescent="0.1">
      <c r="A799" s="1" t="s">
        <v>1684</v>
      </c>
      <c r="B799" s="1" t="s">
        <v>1657</v>
      </c>
      <c r="C799" s="1" t="s">
        <v>1685</v>
      </c>
    </row>
    <row r="800" spans="1:3" x14ac:dyDescent="0.1">
      <c r="A800" s="1" t="s">
        <v>1686</v>
      </c>
      <c r="B800" s="1" t="s">
        <v>1657</v>
      </c>
      <c r="C800" s="1" t="s">
        <v>1687</v>
      </c>
    </row>
    <row r="801" spans="1:3" x14ac:dyDescent="0.1">
      <c r="A801" s="1" t="s">
        <v>1688</v>
      </c>
      <c r="B801" s="1" t="s">
        <v>1657</v>
      </c>
      <c r="C801" s="1" t="s">
        <v>1689</v>
      </c>
    </row>
    <row r="802" spans="1:3" x14ac:dyDescent="0.1">
      <c r="A802" s="1" t="s">
        <v>1690</v>
      </c>
      <c r="B802" s="1" t="s">
        <v>1657</v>
      </c>
      <c r="C802" s="1" t="s">
        <v>1691</v>
      </c>
    </row>
    <row r="803" spans="1:3" x14ac:dyDescent="0.1">
      <c r="A803" s="1" t="s">
        <v>1692</v>
      </c>
      <c r="B803" s="1" t="s">
        <v>1657</v>
      </c>
      <c r="C803" s="1" t="s">
        <v>1693</v>
      </c>
    </row>
    <row r="804" spans="1:3" x14ac:dyDescent="0.1">
      <c r="A804" s="1" t="s">
        <v>1694</v>
      </c>
      <c r="B804" s="1" t="s">
        <v>1657</v>
      </c>
      <c r="C804" s="1" t="s">
        <v>1695</v>
      </c>
    </row>
    <row r="805" spans="1:3" x14ac:dyDescent="0.1">
      <c r="A805" s="5" t="s">
        <v>1696</v>
      </c>
      <c r="B805" s="5" t="s">
        <v>3638</v>
      </c>
      <c r="C805" s="2"/>
    </row>
    <row r="806" spans="1:3" x14ac:dyDescent="0.1">
      <c r="A806" s="1" t="s">
        <v>1697</v>
      </c>
      <c r="B806" s="1" t="s">
        <v>3638</v>
      </c>
      <c r="C806" s="1" t="s">
        <v>1698</v>
      </c>
    </row>
    <row r="807" spans="1:3" x14ac:dyDescent="0.1">
      <c r="A807" s="1" t="s">
        <v>1699</v>
      </c>
      <c r="B807" s="1" t="s">
        <v>3638</v>
      </c>
      <c r="C807" s="1" t="s">
        <v>1700</v>
      </c>
    </row>
    <row r="808" spans="1:3" x14ac:dyDescent="0.1">
      <c r="A808" s="1" t="s">
        <v>1701</v>
      </c>
      <c r="B808" s="1" t="s">
        <v>3638</v>
      </c>
      <c r="C808" s="1" t="s">
        <v>1702</v>
      </c>
    </row>
    <row r="809" spans="1:3" x14ac:dyDescent="0.1">
      <c r="A809" s="1" t="s">
        <v>1703</v>
      </c>
      <c r="B809" s="1" t="s">
        <v>3638</v>
      </c>
      <c r="C809" s="1" t="s">
        <v>1704</v>
      </c>
    </row>
    <row r="810" spans="1:3" x14ac:dyDescent="0.1">
      <c r="A810" s="1" t="s">
        <v>1705</v>
      </c>
      <c r="B810" s="1" t="s">
        <v>3638</v>
      </c>
      <c r="C810" s="1" t="s">
        <v>1706</v>
      </c>
    </row>
    <row r="811" spans="1:3" x14ac:dyDescent="0.1">
      <c r="A811" s="1" t="s">
        <v>1707</v>
      </c>
      <c r="B811" s="1" t="s">
        <v>3638</v>
      </c>
      <c r="C811" s="1" t="s">
        <v>1708</v>
      </c>
    </row>
    <row r="812" spans="1:3" x14ac:dyDescent="0.1">
      <c r="A812" s="1" t="s">
        <v>1709</v>
      </c>
      <c r="B812" s="1" t="s">
        <v>3638</v>
      </c>
      <c r="C812" s="1" t="s">
        <v>1710</v>
      </c>
    </row>
    <row r="813" spans="1:3" x14ac:dyDescent="0.1">
      <c r="A813" s="1" t="s">
        <v>1711</v>
      </c>
      <c r="B813" s="1" t="s">
        <v>3638</v>
      </c>
      <c r="C813" s="1" t="s">
        <v>1712</v>
      </c>
    </row>
    <row r="814" spans="1:3" x14ac:dyDescent="0.1">
      <c r="A814" s="1" t="s">
        <v>1713</v>
      </c>
      <c r="B814" s="1" t="s">
        <v>3638</v>
      </c>
      <c r="C814" s="1" t="s">
        <v>1714</v>
      </c>
    </row>
    <row r="815" spans="1:3" x14ac:dyDescent="0.1">
      <c r="A815" s="1" t="s">
        <v>1715</v>
      </c>
      <c r="B815" s="1" t="s">
        <v>3638</v>
      </c>
      <c r="C815" s="1" t="s">
        <v>1716</v>
      </c>
    </row>
    <row r="816" spans="1:3" x14ac:dyDescent="0.1">
      <c r="A816" s="1" t="s">
        <v>1717</v>
      </c>
      <c r="B816" s="1" t="s">
        <v>3638</v>
      </c>
      <c r="C816" s="1" t="s">
        <v>426</v>
      </c>
    </row>
    <row r="817" spans="1:3" x14ac:dyDescent="0.1">
      <c r="A817" s="1" t="s">
        <v>1718</v>
      </c>
      <c r="B817" s="1" t="s">
        <v>3638</v>
      </c>
      <c r="C817" s="1" t="s">
        <v>1719</v>
      </c>
    </row>
    <row r="818" spans="1:3" x14ac:dyDescent="0.1">
      <c r="A818" s="1" t="s">
        <v>1720</v>
      </c>
      <c r="B818" s="1" t="s">
        <v>3638</v>
      </c>
      <c r="C818" s="1" t="s">
        <v>1721</v>
      </c>
    </row>
    <row r="819" spans="1:3" x14ac:dyDescent="0.1">
      <c r="A819" s="1" t="s">
        <v>1722</v>
      </c>
      <c r="B819" s="1" t="s">
        <v>3638</v>
      </c>
      <c r="C819" s="1" t="s">
        <v>1723</v>
      </c>
    </row>
    <row r="820" spans="1:3" x14ac:dyDescent="0.1">
      <c r="A820" s="1" t="s">
        <v>1724</v>
      </c>
      <c r="B820" s="1" t="s">
        <v>3638</v>
      </c>
      <c r="C820" s="1" t="s">
        <v>1725</v>
      </c>
    </row>
    <row r="821" spans="1:3" x14ac:dyDescent="0.1">
      <c r="A821" s="1" t="s">
        <v>1726</v>
      </c>
      <c r="B821" s="1" t="s">
        <v>3638</v>
      </c>
      <c r="C821" s="1" t="s">
        <v>1727</v>
      </c>
    </row>
    <row r="822" spans="1:3" x14ac:dyDescent="0.1">
      <c r="A822" s="1" t="s">
        <v>1728</v>
      </c>
      <c r="B822" s="1" t="s">
        <v>3638</v>
      </c>
      <c r="C822" s="1" t="s">
        <v>1729</v>
      </c>
    </row>
    <row r="823" spans="1:3" x14ac:dyDescent="0.1">
      <c r="A823" s="5" t="s">
        <v>1730</v>
      </c>
      <c r="B823" s="5" t="s">
        <v>1731</v>
      </c>
      <c r="C823" s="2"/>
    </row>
    <row r="824" spans="1:3" x14ac:dyDescent="0.1">
      <c r="A824" s="1" t="s">
        <v>1732</v>
      </c>
      <c r="B824" s="1" t="s">
        <v>1731</v>
      </c>
      <c r="C824" s="1" t="s">
        <v>1733</v>
      </c>
    </row>
    <row r="825" spans="1:3" x14ac:dyDescent="0.1">
      <c r="A825" s="1" t="s">
        <v>1734</v>
      </c>
      <c r="B825" s="1" t="s">
        <v>1731</v>
      </c>
      <c r="C825" s="1" t="s">
        <v>1735</v>
      </c>
    </row>
    <row r="826" spans="1:3" x14ac:dyDescent="0.1">
      <c r="A826" s="1" t="s">
        <v>1736</v>
      </c>
      <c r="B826" s="1" t="s">
        <v>1731</v>
      </c>
      <c r="C826" s="1" t="s">
        <v>1737</v>
      </c>
    </row>
    <row r="827" spans="1:3" x14ac:dyDescent="0.1">
      <c r="A827" s="1" t="s">
        <v>1738</v>
      </c>
      <c r="B827" s="1" t="s">
        <v>1731</v>
      </c>
      <c r="C827" s="1" t="s">
        <v>1739</v>
      </c>
    </row>
    <row r="828" spans="1:3" x14ac:dyDescent="0.1">
      <c r="A828" s="1" t="s">
        <v>1740</v>
      </c>
      <c r="B828" s="1" t="s">
        <v>1731</v>
      </c>
      <c r="C828" s="1" t="s">
        <v>1741</v>
      </c>
    </row>
    <row r="829" spans="1:3" x14ac:dyDescent="0.1">
      <c r="A829" s="1" t="s">
        <v>1742</v>
      </c>
      <c r="B829" s="1" t="s">
        <v>1731</v>
      </c>
      <c r="C829" s="1" t="s">
        <v>1743</v>
      </c>
    </row>
    <row r="830" spans="1:3" x14ac:dyDescent="0.1">
      <c r="A830" s="1" t="s">
        <v>1744</v>
      </c>
      <c r="B830" s="1" t="s">
        <v>1731</v>
      </c>
      <c r="C830" s="1" t="s">
        <v>1745</v>
      </c>
    </row>
    <row r="831" spans="1:3" x14ac:dyDescent="0.1">
      <c r="A831" s="1" t="s">
        <v>1746</v>
      </c>
      <c r="B831" s="1" t="s">
        <v>1731</v>
      </c>
      <c r="C831" s="1" t="s">
        <v>1747</v>
      </c>
    </row>
    <row r="832" spans="1:3" x14ac:dyDescent="0.1">
      <c r="A832" s="1" t="s">
        <v>1748</v>
      </c>
      <c r="B832" s="1" t="s">
        <v>1731</v>
      </c>
      <c r="C832" s="1" t="s">
        <v>1749</v>
      </c>
    </row>
    <row r="833" spans="1:3" x14ac:dyDescent="0.1">
      <c r="A833" s="1" t="s">
        <v>1750</v>
      </c>
      <c r="B833" s="1" t="s">
        <v>1731</v>
      </c>
      <c r="C833" s="1" t="s">
        <v>1751</v>
      </c>
    </row>
    <row r="834" spans="1:3" x14ac:dyDescent="0.1">
      <c r="A834" s="1" t="s">
        <v>1752</v>
      </c>
      <c r="B834" s="1" t="s">
        <v>1731</v>
      </c>
      <c r="C834" s="1" t="s">
        <v>1753</v>
      </c>
    </row>
    <row r="835" spans="1:3" x14ac:dyDescent="0.1">
      <c r="A835" s="1" t="s">
        <v>1754</v>
      </c>
      <c r="B835" s="1" t="s">
        <v>1731</v>
      </c>
      <c r="C835" s="1" t="s">
        <v>1755</v>
      </c>
    </row>
    <row r="836" spans="1:3" x14ac:dyDescent="0.1">
      <c r="A836" s="1" t="s">
        <v>1756</v>
      </c>
      <c r="B836" s="1" t="s">
        <v>1731</v>
      </c>
      <c r="C836" s="1" t="s">
        <v>1757</v>
      </c>
    </row>
    <row r="837" spans="1:3" x14ac:dyDescent="0.1">
      <c r="A837" s="1" t="s">
        <v>1758</v>
      </c>
      <c r="B837" s="1" t="s">
        <v>1731</v>
      </c>
      <c r="C837" s="1" t="s">
        <v>1759</v>
      </c>
    </row>
    <row r="838" spans="1:3" x14ac:dyDescent="0.1">
      <c r="A838" s="1" t="s">
        <v>1760</v>
      </c>
      <c r="B838" s="1" t="s">
        <v>1731</v>
      </c>
      <c r="C838" s="1" t="s">
        <v>1761</v>
      </c>
    </row>
    <row r="839" spans="1:3" x14ac:dyDescent="0.1">
      <c r="A839" s="1" t="s">
        <v>1762</v>
      </c>
      <c r="B839" s="1" t="s">
        <v>1731</v>
      </c>
      <c r="C839" s="1" t="s">
        <v>1763</v>
      </c>
    </row>
    <row r="840" spans="1:3" x14ac:dyDescent="0.1">
      <c r="A840" s="1" t="s">
        <v>1764</v>
      </c>
      <c r="B840" s="1" t="s">
        <v>1731</v>
      </c>
      <c r="C840" s="1" t="s">
        <v>536</v>
      </c>
    </row>
    <row r="841" spans="1:3" x14ac:dyDescent="0.1">
      <c r="A841" s="1" t="s">
        <v>1765</v>
      </c>
      <c r="B841" s="1" t="s">
        <v>1731</v>
      </c>
      <c r="C841" s="1" t="s">
        <v>1766</v>
      </c>
    </row>
    <row r="842" spans="1:3" x14ac:dyDescent="0.1">
      <c r="A842" s="1" t="s">
        <v>1767</v>
      </c>
      <c r="B842" s="1" t="s">
        <v>1731</v>
      </c>
      <c r="C842" s="1" t="s">
        <v>1768</v>
      </c>
    </row>
    <row r="843" spans="1:3" x14ac:dyDescent="0.1">
      <c r="A843" s="1" t="s">
        <v>1769</v>
      </c>
      <c r="B843" s="1" t="s">
        <v>1731</v>
      </c>
      <c r="C843" s="1" t="s">
        <v>1770</v>
      </c>
    </row>
    <row r="844" spans="1:3" x14ac:dyDescent="0.1">
      <c r="A844" s="1" t="s">
        <v>1771</v>
      </c>
      <c r="B844" s="1" t="s">
        <v>1731</v>
      </c>
      <c r="C844" s="1" t="s">
        <v>1772</v>
      </c>
    </row>
    <row r="845" spans="1:3" x14ac:dyDescent="0.1">
      <c r="A845" s="1" t="s">
        <v>1773</v>
      </c>
      <c r="B845" s="1" t="s">
        <v>1731</v>
      </c>
      <c r="C845" s="1" t="s">
        <v>1774</v>
      </c>
    </row>
    <row r="846" spans="1:3" x14ac:dyDescent="0.1">
      <c r="A846" s="1" t="s">
        <v>1775</v>
      </c>
      <c r="B846" s="1" t="s">
        <v>1731</v>
      </c>
      <c r="C846" s="1" t="s">
        <v>1776</v>
      </c>
    </row>
    <row r="847" spans="1:3" x14ac:dyDescent="0.1">
      <c r="A847" s="1" t="s">
        <v>1777</v>
      </c>
      <c r="B847" s="1" t="s">
        <v>1731</v>
      </c>
      <c r="C847" s="1" t="s">
        <v>1778</v>
      </c>
    </row>
    <row r="848" spans="1:3" x14ac:dyDescent="0.1">
      <c r="A848" s="1" t="s">
        <v>1779</v>
      </c>
      <c r="B848" s="1" t="s">
        <v>1731</v>
      </c>
      <c r="C848" s="1" t="s">
        <v>1780</v>
      </c>
    </row>
    <row r="849" spans="1:3" x14ac:dyDescent="0.1">
      <c r="A849" s="1" t="s">
        <v>1781</v>
      </c>
      <c r="B849" s="1" t="s">
        <v>1731</v>
      </c>
      <c r="C849" s="1" t="s">
        <v>1782</v>
      </c>
    </row>
    <row r="850" spans="1:3" x14ac:dyDescent="0.1">
      <c r="A850" s="1" t="s">
        <v>1783</v>
      </c>
      <c r="B850" s="1" t="s">
        <v>1731</v>
      </c>
      <c r="C850" s="1" t="s">
        <v>1784</v>
      </c>
    </row>
    <row r="851" spans="1:3" x14ac:dyDescent="0.1">
      <c r="A851" s="5" t="s">
        <v>1785</v>
      </c>
      <c r="B851" s="5" t="s">
        <v>1786</v>
      </c>
      <c r="C851" s="2"/>
    </row>
    <row r="852" spans="1:3" x14ac:dyDescent="0.1">
      <c r="A852" s="1" t="s">
        <v>1787</v>
      </c>
      <c r="B852" s="1" t="s">
        <v>1786</v>
      </c>
      <c r="C852" s="1" t="s">
        <v>1788</v>
      </c>
    </row>
    <row r="853" spans="1:3" x14ac:dyDescent="0.1">
      <c r="A853" s="1" t="s">
        <v>1789</v>
      </c>
      <c r="B853" s="1" t="s">
        <v>1786</v>
      </c>
      <c r="C853" s="1" t="s">
        <v>1790</v>
      </c>
    </row>
    <row r="854" spans="1:3" x14ac:dyDescent="0.1">
      <c r="A854" s="1" t="s">
        <v>1791</v>
      </c>
      <c r="B854" s="1" t="s">
        <v>1786</v>
      </c>
      <c r="C854" s="1" t="s">
        <v>1792</v>
      </c>
    </row>
    <row r="855" spans="1:3" x14ac:dyDescent="0.1">
      <c r="A855" s="1" t="s">
        <v>1793</v>
      </c>
      <c r="B855" s="1" t="s">
        <v>1786</v>
      </c>
      <c r="C855" s="1" t="s">
        <v>1794</v>
      </c>
    </row>
    <row r="856" spans="1:3" x14ac:dyDescent="0.1">
      <c r="A856" s="1" t="s">
        <v>1795</v>
      </c>
      <c r="B856" s="1" t="s">
        <v>1786</v>
      </c>
      <c r="C856" s="1" t="s">
        <v>1796</v>
      </c>
    </row>
    <row r="857" spans="1:3" x14ac:dyDescent="0.1">
      <c r="A857" s="1" t="s">
        <v>1797</v>
      </c>
      <c r="B857" s="1" t="s">
        <v>1786</v>
      </c>
      <c r="C857" s="1" t="s">
        <v>1798</v>
      </c>
    </row>
    <row r="858" spans="1:3" x14ac:dyDescent="0.1">
      <c r="A858" s="1" t="s">
        <v>1799</v>
      </c>
      <c r="B858" s="1" t="s">
        <v>1786</v>
      </c>
      <c r="C858" s="1" t="s">
        <v>1800</v>
      </c>
    </row>
    <row r="859" spans="1:3" x14ac:dyDescent="0.1">
      <c r="A859" s="1" t="s">
        <v>1801</v>
      </c>
      <c r="B859" s="1" t="s">
        <v>1786</v>
      </c>
      <c r="C859" s="1" t="s">
        <v>1802</v>
      </c>
    </row>
    <row r="860" spans="1:3" x14ac:dyDescent="0.1">
      <c r="A860" s="1" t="s">
        <v>1803</v>
      </c>
      <c r="B860" s="1" t="s">
        <v>1786</v>
      </c>
      <c r="C860" s="1" t="s">
        <v>1804</v>
      </c>
    </row>
    <row r="861" spans="1:3" x14ac:dyDescent="0.1">
      <c r="A861" s="1" t="s">
        <v>1805</v>
      </c>
      <c r="B861" s="1" t="s">
        <v>1786</v>
      </c>
      <c r="C861" s="1" t="s">
        <v>1806</v>
      </c>
    </row>
    <row r="862" spans="1:3" x14ac:dyDescent="0.1">
      <c r="A862" s="1" t="s">
        <v>1807</v>
      </c>
      <c r="B862" s="1" t="s">
        <v>1786</v>
      </c>
      <c r="C862" s="1" t="s">
        <v>1808</v>
      </c>
    </row>
    <row r="863" spans="1:3" x14ac:dyDescent="0.1">
      <c r="A863" s="1" t="s">
        <v>1809</v>
      </c>
      <c r="B863" s="1" t="s">
        <v>1786</v>
      </c>
      <c r="C863" s="1" t="s">
        <v>1810</v>
      </c>
    </row>
    <row r="864" spans="1:3" x14ac:dyDescent="0.1">
      <c r="A864" s="1" t="s">
        <v>1811</v>
      </c>
      <c r="B864" s="1" t="s">
        <v>1786</v>
      </c>
      <c r="C864" s="1" t="s">
        <v>1812</v>
      </c>
    </row>
    <row r="865" spans="1:3" x14ac:dyDescent="0.1">
      <c r="A865" s="1" t="s">
        <v>1813</v>
      </c>
      <c r="B865" s="1" t="s">
        <v>1786</v>
      </c>
      <c r="C865" s="1" t="s">
        <v>1814</v>
      </c>
    </row>
    <row r="866" spans="1:3" x14ac:dyDescent="0.1">
      <c r="A866" s="1" t="s">
        <v>1815</v>
      </c>
      <c r="B866" s="1" t="s">
        <v>1786</v>
      </c>
      <c r="C866" s="1" t="s">
        <v>1816</v>
      </c>
    </row>
    <row r="867" spans="1:3" x14ac:dyDescent="0.1">
      <c r="A867" s="1" t="s">
        <v>1817</v>
      </c>
      <c r="B867" s="1" t="s">
        <v>1786</v>
      </c>
      <c r="C867" s="1" t="s">
        <v>1818</v>
      </c>
    </row>
    <row r="868" spans="1:3" x14ac:dyDescent="0.1">
      <c r="A868" s="1" t="s">
        <v>1819</v>
      </c>
      <c r="B868" s="1" t="s">
        <v>1786</v>
      </c>
      <c r="C868" s="1" t="s">
        <v>1820</v>
      </c>
    </row>
    <row r="869" spans="1:3" x14ac:dyDescent="0.1">
      <c r="A869" s="1" t="s">
        <v>1821</v>
      </c>
      <c r="B869" s="1" t="s">
        <v>1786</v>
      </c>
      <c r="C869" s="1" t="s">
        <v>1822</v>
      </c>
    </row>
    <row r="870" spans="1:3" x14ac:dyDescent="0.1">
      <c r="A870" s="1" t="s">
        <v>1823</v>
      </c>
      <c r="B870" s="1" t="s">
        <v>1786</v>
      </c>
      <c r="C870" s="1" t="s">
        <v>1824</v>
      </c>
    </row>
    <row r="871" spans="1:3" x14ac:dyDescent="0.1">
      <c r="A871" s="1" t="s">
        <v>1825</v>
      </c>
      <c r="B871" s="1" t="s">
        <v>1786</v>
      </c>
      <c r="C871" s="1" t="s">
        <v>1826</v>
      </c>
    </row>
    <row r="872" spans="1:3" x14ac:dyDescent="0.1">
      <c r="A872" s="1" t="s">
        <v>1827</v>
      </c>
      <c r="B872" s="1" t="s">
        <v>1786</v>
      </c>
      <c r="C872" s="1" t="s">
        <v>1828</v>
      </c>
    </row>
    <row r="873" spans="1:3" x14ac:dyDescent="0.1">
      <c r="A873" s="1" t="s">
        <v>1829</v>
      </c>
      <c r="B873" s="1" t="s">
        <v>1786</v>
      </c>
      <c r="C873" s="1" t="s">
        <v>1100</v>
      </c>
    </row>
    <row r="874" spans="1:3" x14ac:dyDescent="0.1">
      <c r="A874" s="1" t="s">
        <v>1830</v>
      </c>
      <c r="B874" s="1" t="s">
        <v>1786</v>
      </c>
      <c r="C874" s="1" t="s">
        <v>1831</v>
      </c>
    </row>
    <row r="875" spans="1:3" x14ac:dyDescent="0.1">
      <c r="A875" s="1" t="s">
        <v>1832</v>
      </c>
      <c r="B875" s="1" t="s">
        <v>1786</v>
      </c>
      <c r="C875" s="1" t="s">
        <v>1833</v>
      </c>
    </row>
    <row r="876" spans="1:3" x14ac:dyDescent="0.1">
      <c r="A876" s="1" t="s">
        <v>1834</v>
      </c>
      <c r="B876" s="1" t="s">
        <v>1786</v>
      </c>
      <c r="C876" s="1" t="s">
        <v>1835</v>
      </c>
    </row>
    <row r="877" spans="1:3" x14ac:dyDescent="0.1">
      <c r="A877" s="1" t="s">
        <v>1836</v>
      </c>
      <c r="B877" s="1" t="s">
        <v>1786</v>
      </c>
      <c r="C877" s="1" t="s">
        <v>1837</v>
      </c>
    </row>
    <row r="878" spans="1:3" x14ac:dyDescent="0.1">
      <c r="A878" s="1" t="s">
        <v>1838</v>
      </c>
      <c r="B878" s="1" t="s">
        <v>1786</v>
      </c>
      <c r="C878" s="1" t="s">
        <v>1839</v>
      </c>
    </row>
    <row r="879" spans="1:3" x14ac:dyDescent="0.1">
      <c r="A879" s="1" t="s">
        <v>1840</v>
      </c>
      <c r="B879" s="1" t="s">
        <v>1786</v>
      </c>
      <c r="C879" s="1" t="s">
        <v>1841</v>
      </c>
    </row>
    <row r="880" spans="1:3" x14ac:dyDescent="0.1">
      <c r="A880" s="1" t="s">
        <v>1842</v>
      </c>
      <c r="B880" s="1" t="s">
        <v>1786</v>
      </c>
      <c r="C880" s="1" t="s">
        <v>1843</v>
      </c>
    </row>
    <row r="881" spans="1:3" x14ac:dyDescent="0.1">
      <c r="A881" s="1" t="s">
        <v>1844</v>
      </c>
      <c r="B881" s="1" t="s">
        <v>1786</v>
      </c>
      <c r="C881" s="1" t="s">
        <v>1845</v>
      </c>
    </row>
    <row r="882" spans="1:3" x14ac:dyDescent="0.1">
      <c r="A882" s="1" t="s">
        <v>1846</v>
      </c>
      <c r="B882" s="1" t="s">
        <v>1786</v>
      </c>
      <c r="C882" s="1" t="s">
        <v>1847</v>
      </c>
    </row>
    <row r="883" spans="1:3" x14ac:dyDescent="0.1">
      <c r="A883" s="1" t="s">
        <v>1848</v>
      </c>
      <c r="B883" s="1" t="s">
        <v>1786</v>
      </c>
      <c r="C883" s="1" t="s">
        <v>1849</v>
      </c>
    </row>
    <row r="884" spans="1:3" x14ac:dyDescent="0.1">
      <c r="A884" s="1" t="s">
        <v>1850</v>
      </c>
      <c r="B884" s="1" t="s">
        <v>1786</v>
      </c>
      <c r="C884" s="1" t="s">
        <v>1851</v>
      </c>
    </row>
    <row r="885" spans="1:3" x14ac:dyDescent="0.1">
      <c r="A885" s="1" t="s">
        <v>1852</v>
      </c>
      <c r="B885" s="1" t="s">
        <v>1786</v>
      </c>
      <c r="C885" s="1" t="s">
        <v>1853</v>
      </c>
    </row>
    <row r="886" spans="1:3" x14ac:dyDescent="0.1">
      <c r="A886" s="1" t="s">
        <v>1854</v>
      </c>
      <c r="B886" s="1" t="s">
        <v>1786</v>
      </c>
      <c r="C886" s="1" t="s">
        <v>1855</v>
      </c>
    </row>
    <row r="887" spans="1:3" x14ac:dyDescent="0.1">
      <c r="A887" s="1" t="s">
        <v>1856</v>
      </c>
      <c r="B887" s="1" t="s">
        <v>1786</v>
      </c>
      <c r="C887" s="1" t="s">
        <v>1857</v>
      </c>
    </row>
    <row r="888" spans="1:3" x14ac:dyDescent="0.1">
      <c r="A888" s="1" t="s">
        <v>1858</v>
      </c>
      <c r="B888" s="1" t="s">
        <v>1786</v>
      </c>
      <c r="C888" s="1" t="s">
        <v>1859</v>
      </c>
    </row>
    <row r="889" spans="1:3" x14ac:dyDescent="0.1">
      <c r="A889" s="1" t="s">
        <v>1860</v>
      </c>
      <c r="B889" s="1" t="s">
        <v>1786</v>
      </c>
      <c r="C889" s="1" t="s">
        <v>1861</v>
      </c>
    </row>
    <row r="890" spans="1:3" x14ac:dyDescent="0.1">
      <c r="A890" s="1" t="s">
        <v>1862</v>
      </c>
      <c r="B890" s="1" t="s">
        <v>1786</v>
      </c>
      <c r="C890" s="1" t="s">
        <v>1863</v>
      </c>
    </row>
    <row r="891" spans="1:3" x14ac:dyDescent="0.1">
      <c r="A891" s="1" t="s">
        <v>1864</v>
      </c>
      <c r="B891" s="1" t="s">
        <v>1786</v>
      </c>
      <c r="C891" s="1" t="s">
        <v>1865</v>
      </c>
    </row>
    <row r="892" spans="1:3" x14ac:dyDescent="0.1">
      <c r="A892" s="1" t="s">
        <v>1866</v>
      </c>
      <c r="B892" s="1" t="s">
        <v>1786</v>
      </c>
      <c r="C892" s="1" t="s">
        <v>1867</v>
      </c>
    </row>
    <row r="893" spans="1:3" x14ac:dyDescent="0.1">
      <c r="A893" s="1" t="s">
        <v>1868</v>
      </c>
      <c r="B893" s="1" t="s">
        <v>1786</v>
      </c>
      <c r="C893" s="1" t="s">
        <v>1869</v>
      </c>
    </row>
    <row r="894" spans="1:3" x14ac:dyDescent="0.1">
      <c r="A894" s="1" t="s">
        <v>1870</v>
      </c>
      <c r="B894" s="1" t="s">
        <v>1786</v>
      </c>
      <c r="C894" s="1" t="s">
        <v>1871</v>
      </c>
    </row>
    <row r="895" spans="1:3" x14ac:dyDescent="0.1">
      <c r="A895" s="1" t="s">
        <v>1872</v>
      </c>
      <c r="B895" s="1" t="s">
        <v>1786</v>
      </c>
      <c r="C895" s="1" t="s">
        <v>1873</v>
      </c>
    </row>
    <row r="896" spans="1:3" x14ac:dyDescent="0.1">
      <c r="A896" s="1" t="s">
        <v>1874</v>
      </c>
      <c r="B896" s="1" t="s">
        <v>1786</v>
      </c>
      <c r="C896" s="1" t="s">
        <v>1875</v>
      </c>
    </row>
    <row r="897" spans="1:3" x14ac:dyDescent="0.1">
      <c r="A897" s="1" t="s">
        <v>1876</v>
      </c>
      <c r="B897" s="1" t="s">
        <v>1786</v>
      </c>
      <c r="C897" s="1" t="s">
        <v>1877</v>
      </c>
    </row>
    <row r="898" spans="1:3" x14ac:dyDescent="0.1">
      <c r="A898" s="1" t="s">
        <v>1878</v>
      </c>
      <c r="B898" s="1" t="s">
        <v>1786</v>
      </c>
      <c r="C898" s="1" t="s">
        <v>1879</v>
      </c>
    </row>
    <row r="899" spans="1:3" x14ac:dyDescent="0.1">
      <c r="A899" s="1" t="s">
        <v>1880</v>
      </c>
      <c r="B899" s="1" t="s">
        <v>1786</v>
      </c>
      <c r="C899" s="1" t="s">
        <v>1881</v>
      </c>
    </row>
    <row r="900" spans="1:3" x14ac:dyDescent="0.1">
      <c r="A900" s="1" t="s">
        <v>1882</v>
      </c>
      <c r="B900" s="1" t="s">
        <v>1786</v>
      </c>
      <c r="C900" s="1" t="s">
        <v>1883</v>
      </c>
    </row>
    <row r="901" spans="1:3" x14ac:dyDescent="0.1">
      <c r="A901" s="1" t="s">
        <v>1884</v>
      </c>
      <c r="B901" s="1" t="s">
        <v>1786</v>
      </c>
      <c r="C901" s="1" t="s">
        <v>1885</v>
      </c>
    </row>
    <row r="902" spans="1:3" x14ac:dyDescent="0.1">
      <c r="A902" s="1" t="s">
        <v>1886</v>
      </c>
      <c r="B902" s="1" t="s">
        <v>1786</v>
      </c>
      <c r="C902" s="1" t="s">
        <v>1887</v>
      </c>
    </row>
    <row r="903" spans="1:3" x14ac:dyDescent="0.1">
      <c r="A903" s="1" t="s">
        <v>1888</v>
      </c>
      <c r="B903" s="1" t="s">
        <v>1786</v>
      </c>
      <c r="C903" s="1" t="s">
        <v>1889</v>
      </c>
    </row>
    <row r="904" spans="1:3" x14ac:dyDescent="0.1">
      <c r="A904" s="1" t="s">
        <v>1890</v>
      </c>
      <c r="B904" s="1" t="s">
        <v>1786</v>
      </c>
      <c r="C904" s="1" t="s">
        <v>1891</v>
      </c>
    </row>
    <row r="905" spans="1:3" x14ac:dyDescent="0.1">
      <c r="A905" s="1" t="s">
        <v>1892</v>
      </c>
      <c r="B905" s="1" t="s">
        <v>1786</v>
      </c>
      <c r="C905" s="1" t="s">
        <v>1893</v>
      </c>
    </row>
    <row r="906" spans="1:3" x14ac:dyDescent="0.1">
      <c r="A906" s="1" t="s">
        <v>1894</v>
      </c>
      <c r="B906" s="1" t="s">
        <v>1786</v>
      </c>
      <c r="C906" s="1" t="s">
        <v>1895</v>
      </c>
    </row>
    <row r="907" spans="1:3" x14ac:dyDescent="0.1">
      <c r="A907" s="1" t="s">
        <v>1896</v>
      </c>
      <c r="B907" s="1" t="s">
        <v>1786</v>
      </c>
      <c r="C907" s="1" t="s">
        <v>1897</v>
      </c>
    </row>
    <row r="908" spans="1:3" x14ac:dyDescent="0.1">
      <c r="A908" s="1" t="s">
        <v>1898</v>
      </c>
      <c r="B908" s="1" t="s">
        <v>1786</v>
      </c>
      <c r="C908" s="1" t="s">
        <v>1899</v>
      </c>
    </row>
    <row r="909" spans="1:3" x14ac:dyDescent="0.1">
      <c r="A909" s="1" t="s">
        <v>1900</v>
      </c>
      <c r="B909" s="1" t="s">
        <v>1786</v>
      </c>
      <c r="C909" s="1" t="s">
        <v>1901</v>
      </c>
    </row>
    <row r="910" spans="1:3" x14ac:dyDescent="0.1">
      <c r="A910" s="1" t="s">
        <v>1902</v>
      </c>
      <c r="B910" s="1" t="s">
        <v>1786</v>
      </c>
      <c r="C910" s="1" t="s">
        <v>1903</v>
      </c>
    </row>
    <row r="911" spans="1:3" x14ac:dyDescent="0.1">
      <c r="A911" s="1" t="s">
        <v>1904</v>
      </c>
      <c r="B911" s="1" t="s">
        <v>1786</v>
      </c>
      <c r="C911" s="1" t="s">
        <v>1905</v>
      </c>
    </row>
    <row r="912" spans="1:3" x14ac:dyDescent="0.1">
      <c r="A912" s="1" t="s">
        <v>1906</v>
      </c>
      <c r="B912" s="1" t="s">
        <v>1786</v>
      </c>
      <c r="C912" s="1" t="s">
        <v>1907</v>
      </c>
    </row>
    <row r="913" spans="1:3" x14ac:dyDescent="0.1">
      <c r="A913" s="1" t="s">
        <v>1908</v>
      </c>
      <c r="B913" s="1" t="s">
        <v>1786</v>
      </c>
      <c r="C913" s="1" t="s">
        <v>1909</v>
      </c>
    </row>
    <row r="914" spans="1:3" x14ac:dyDescent="0.1">
      <c r="A914" s="1" t="s">
        <v>1910</v>
      </c>
      <c r="B914" s="1" t="s">
        <v>1786</v>
      </c>
      <c r="C914" s="1" t="s">
        <v>1911</v>
      </c>
    </row>
    <row r="915" spans="1:3" x14ac:dyDescent="0.1">
      <c r="A915" s="1" t="s">
        <v>1912</v>
      </c>
      <c r="B915" s="1" t="s">
        <v>1786</v>
      </c>
      <c r="C915" s="1" t="s">
        <v>426</v>
      </c>
    </row>
    <row r="916" spans="1:3" x14ac:dyDescent="0.1">
      <c r="A916" s="1" t="s">
        <v>1913</v>
      </c>
      <c r="B916" s="1" t="s">
        <v>1786</v>
      </c>
      <c r="C916" s="1" t="s">
        <v>1914</v>
      </c>
    </row>
    <row r="917" spans="1:3" x14ac:dyDescent="0.1">
      <c r="A917" s="1" t="s">
        <v>1915</v>
      </c>
      <c r="B917" s="1" t="s">
        <v>1786</v>
      </c>
      <c r="C917" s="1" t="s">
        <v>1916</v>
      </c>
    </row>
    <row r="918" spans="1:3" x14ac:dyDescent="0.1">
      <c r="A918" s="1" t="s">
        <v>1917</v>
      </c>
      <c r="B918" s="1" t="s">
        <v>1786</v>
      </c>
      <c r="C918" s="1" t="s">
        <v>1918</v>
      </c>
    </row>
    <row r="919" spans="1:3" x14ac:dyDescent="0.1">
      <c r="A919" s="1" t="s">
        <v>1919</v>
      </c>
      <c r="B919" s="1" t="s">
        <v>1786</v>
      </c>
      <c r="C919" s="1" t="s">
        <v>1920</v>
      </c>
    </row>
    <row r="920" spans="1:3" x14ac:dyDescent="0.1">
      <c r="A920" s="1" t="s">
        <v>1921</v>
      </c>
      <c r="B920" s="1" t="s">
        <v>1786</v>
      </c>
      <c r="C920" s="1" t="s">
        <v>1922</v>
      </c>
    </row>
    <row r="921" spans="1:3" x14ac:dyDescent="0.1">
      <c r="A921" s="1" t="s">
        <v>1923</v>
      </c>
      <c r="B921" s="1" t="s">
        <v>1786</v>
      </c>
      <c r="C921" s="1" t="s">
        <v>1112</v>
      </c>
    </row>
    <row r="922" spans="1:3" x14ac:dyDescent="0.1">
      <c r="A922" s="1" t="s">
        <v>1924</v>
      </c>
      <c r="B922" s="1" t="s">
        <v>1786</v>
      </c>
      <c r="C922" s="1" t="s">
        <v>1925</v>
      </c>
    </row>
    <row r="923" spans="1:3" x14ac:dyDescent="0.1">
      <c r="A923" s="1" t="s">
        <v>1926</v>
      </c>
      <c r="B923" s="1" t="s">
        <v>1786</v>
      </c>
      <c r="C923" s="1" t="s">
        <v>1927</v>
      </c>
    </row>
    <row r="924" spans="1:3" x14ac:dyDescent="0.1">
      <c r="A924" s="1" t="s">
        <v>1928</v>
      </c>
      <c r="B924" s="1" t="s">
        <v>1786</v>
      </c>
      <c r="C924" s="1" t="s">
        <v>1929</v>
      </c>
    </row>
    <row r="925" spans="1:3" x14ac:dyDescent="0.1">
      <c r="A925" s="1" t="s">
        <v>1930</v>
      </c>
      <c r="B925" s="1" t="s">
        <v>1786</v>
      </c>
      <c r="C925" s="1" t="s">
        <v>1931</v>
      </c>
    </row>
    <row r="926" spans="1:3" x14ac:dyDescent="0.1">
      <c r="A926" s="1" t="s">
        <v>1932</v>
      </c>
      <c r="B926" s="1" t="s">
        <v>1786</v>
      </c>
      <c r="C926" s="1" t="s">
        <v>1933</v>
      </c>
    </row>
    <row r="927" spans="1:3" x14ac:dyDescent="0.1">
      <c r="A927" s="1" t="s">
        <v>1934</v>
      </c>
      <c r="B927" s="1" t="s">
        <v>1786</v>
      </c>
      <c r="C927" s="1" t="s">
        <v>1935</v>
      </c>
    </row>
    <row r="928" spans="1:3" x14ac:dyDescent="0.1">
      <c r="A928" s="1" t="s">
        <v>1936</v>
      </c>
      <c r="B928" s="1" t="s">
        <v>1786</v>
      </c>
      <c r="C928" s="1" t="s">
        <v>1937</v>
      </c>
    </row>
    <row r="929" spans="1:3" x14ac:dyDescent="0.1">
      <c r="A929" s="5" t="s">
        <v>1938</v>
      </c>
      <c r="B929" s="5" t="s">
        <v>1939</v>
      </c>
      <c r="C929" s="2"/>
    </row>
    <row r="930" spans="1:3" x14ac:dyDescent="0.1">
      <c r="A930" s="1" t="s">
        <v>1940</v>
      </c>
      <c r="B930" s="1" t="s">
        <v>1939</v>
      </c>
      <c r="C930" s="1" t="s">
        <v>1941</v>
      </c>
    </row>
    <row r="931" spans="1:3" x14ac:dyDescent="0.1">
      <c r="A931" s="1" t="s">
        <v>1942</v>
      </c>
      <c r="B931" s="1" t="s">
        <v>1939</v>
      </c>
      <c r="C931" s="1" t="s">
        <v>1943</v>
      </c>
    </row>
    <row r="932" spans="1:3" x14ac:dyDescent="0.1">
      <c r="A932" s="1" t="s">
        <v>1944</v>
      </c>
      <c r="B932" s="1" t="s">
        <v>1939</v>
      </c>
      <c r="C932" s="1" t="s">
        <v>1945</v>
      </c>
    </row>
    <row r="933" spans="1:3" x14ac:dyDescent="0.1">
      <c r="A933" s="1" t="s">
        <v>1946</v>
      </c>
      <c r="B933" s="1" t="s">
        <v>1939</v>
      </c>
      <c r="C933" s="1" t="s">
        <v>1947</v>
      </c>
    </row>
    <row r="934" spans="1:3" x14ac:dyDescent="0.1">
      <c r="A934" s="1" t="s">
        <v>1948</v>
      </c>
      <c r="B934" s="1" t="s">
        <v>1939</v>
      </c>
      <c r="C934" s="1" t="s">
        <v>1949</v>
      </c>
    </row>
    <row r="935" spans="1:3" x14ac:dyDescent="0.1">
      <c r="A935" s="1" t="s">
        <v>1950</v>
      </c>
      <c r="B935" s="1" t="s">
        <v>1939</v>
      </c>
      <c r="C935" s="1" t="s">
        <v>1951</v>
      </c>
    </row>
    <row r="936" spans="1:3" x14ac:dyDescent="0.1">
      <c r="A936" s="1" t="s">
        <v>1952</v>
      </c>
      <c r="B936" s="1" t="s">
        <v>1939</v>
      </c>
      <c r="C936" s="1" t="s">
        <v>1953</v>
      </c>
    </row>
    <row r="937" spans="1:3" x14ac:dyDescent="0.1">
      <c r="A937" s="1" t="s">
        <v>1954</v>
      </c>
      <c r="B937" s="1" t="s">
        <v>1939</v>
      </c>
      <c r="C937" s="1" t="s">
        <v>1955</v>
      </c>
    </row>
    <row r="938" spans="1:3" x14ac:dyDescent="0.1">
      <c r="A938" s="1" t="s">
        <v>1956</v>
      </c>
      <c r="B938" s="1" t="s">
        <v>1939</v>
      </c>
      <c r="C938" s="1" t="s">
        <v>1957</v>
      </c>
    </row>
    <row r="939" spans="1:3" x14ac:dyDescent="0.1">
      <c r="A939" s="1" t="s">
        <v>1958</v>
      </c>
      <c r="B939" s="1" t="s">
        <v>1939</v>
      </c>
      <c r="C939" s="1" t="s">
        <v>1959</v>
      </c>
    </row>
    <row r="940" spans="1:3" x14ac:dyDescent="0.1">
      <c r="A940" s="1" t="s">
        <v>1960</v>
      </c>
      <c r="B940" s="1" t="s">
        <v>1939</v>
      </c>
      <c r="C940" s="1" t="s">
        <v>1961</v>
      </c>
    </row>
    <row r="941" spans="1:3" x14ac:dyDescent="0.1">
      <c r="A941" s="1" t="s">
        <v>1962</v>
      </c>
      <c r="B941" s="1" t="s">
        <v>1939</v>
      </c>
      <c r="C941" s="1" t="s">
        <v>1963</v>
      </c>
    </row>
    <row r="942" spans="1:3" x14ac:dyDescent="0.1">
      <c r="A942" s="1" t="s">
        <v>1964</v>
      </c>
      <c r="B942" s="1" t="s">
        <v>1939</v>
      </c>
      <c r="C942" s="1" t="s">
        <v>1965</v>
      </c>
    </row>
    <row r="943" spans="1:3" x14ac:dyDescent="0.1">
      <c r="A943" s="1" t="s">
        <v>1966</v>
      </c>
      <c r="B943" s="1" t="s">
        <v>1939</v>
      </c>
      <c r="C943" s="1" t="s">
        <v>1967</v>
      </c>
    </row>
    <row r="944" spans="1:3" x14ac:dyDescent="0.1">
      <c r="A944" s="1" t="s">
        <v>1968</v>
      </c>
      <c r="B944" s="1" t="s">
        <v>1939</v>
      </c>
      <c r="C944" s="1" t="s">
        <v>1969</v>
      </c>
    </row>
    <row r="945" spans="1:3" x14ac:dyDescent="0.1">
      <c r="A945" s="1" t="s">
        <v>1970</v>
      </c>
      <c r="B945" s="1" t="s">
        <v>1939</v>
      </c>
      <c r="C945" s="1" t="s">
        <v>1971</v>
      </c>
    </row>
    <row r="946" spans="1:3" x14ac:dyDescent="0.1">
      <c r="A946" s="1" t="s">
        <v>1972</v>
      </c>
      <c r="B946" s="1" t="s">
        <v>1939</v>
      </c>
      <c r="C946" s="1" t="s">
        <v>1973</v>
      </c>
    </row>
    <row r="947" spans="1:3" x14ac:dyDescent="0.1">
      <c r="A947" s="1" t="s">
        <v>1974</v>
      </c>
      <c r="B947" s="1" t="s">
        <v>1939</v>
      </c>
      <c r="C947" s="1" t="s">
        <v>1975</v>
      </c>
    </row>
    <row r="948" spans="1:3" x14ac:dyDescent="0.1">
      <c r="A948" s="1" t="s">
        <v>1976</v>
      </c>
      <c r="B948" s="1" t="s">
        <v>1939</v>
      </c>
      <c r="C948" s="1" t="s">
        <v>1977</v>
      </c>
    </row>
    <row r="949" spans="1:3" x14ac:dyDescent="0.1">
      <c r="A949" s="1" t="s">
        <v>1978</v>
      </c>
      <c r="B949" s="1" t="s">
        <v>1939</v>
      </c>
      <c r="C949" s="1" t="s">
        <v>1979</v>
      </c>
    </row>
    <row r="950" spans="1:3" x14ac:dyDescent="0.1">
      <c r="A950" s="1" t="s">
        <v>1980</v>
      </c>
      <c r="B950" s="1" t="s">
        <v>1939</v>
      </c>
      <c r="C950" s="1" t="s">
        <v>1981</v>
      </c>
    </row>
    <row r="951" spans="1:3" x14ac:dyDescent="0.1">
      <c r="A951" s="1" t="s">
        <v>1982</v>
      </c>
      <c r="B951" s="1" t="s">
        <v>1939</v>
      </c>
      <c r="C951" s="1" t="s">
        <v>1983</v>
      </c>
    </row>
    <row r="952" spans="1:3" x14ac:dyDescent="0.1">
      <c r="A952" s="1" t="s">
        <v>1984</v>
      </c>
      <c r="B952" s="1" t="s">
        <v>1939</v>
      </c>
      <c r="C952" s="1" t="s">
        <v>1985</v>
      </c>
    </row>
    <row r="953" spans="1:3" x14ac:dyDescent="0.1">
      <c r="A953" s="1" t="s">
        <v>1986</v>
      </c>
      <c r="B953" s="1" t="s">
        <v>1939</v>
      </c>
      <c r="C953" s="1" t="s">
        <v>1987</v>
      </c>
    </row>
    <row r="954" spans="1:3" x14ac:dyDescent="0.1">
      <c r="A954" s="1" t="s">
        <v>1988</v>
      </c>
      <c r="B954" s="1" t="s">
        <v>1939</v>
      </c>
      <c r="C954" s="1" t="s">
        <v>1989</v>
      </c>
    </row>
    <row r="955" spans="1:3" x14ac:dyDescent="0.1">
      <c r="A955" s="1" t="s">
        <v>1990</v>
      </c>
      <c r="B955" s="1" t="s">
        <v>1939</v>
      </c>
      <c r="C955" s="1" t="s">
        <v>1991</v>
      </c>
    </row>
    <row r="956" spans="1:3" x14ac:dyDescent="0.1">
      <c r="A956" s="1" t="s">
        <v>1992</v>
      </c>
      <c r="B956" s="1" t="s">
        <v>1939</v>
      </c>
      <c r="C956" s="1" t="s">
        <v>1993</v>
      </c>
    </row>
    <row r="957" spans="1:3" x14ac:dyDescent="0.1">
      <c r="A957" s="1" t="s">
        <v>1994</v>
      </c>
      <c r="B957" s="1" t="s">
        <v>1939</v>
      </c>
      <c r="C957" s="1" t="s">
        <v>1995</v>
      </c>
    </row>
    <row r="958" spans="1:3" x14ac:dyDescent="0.1">
      <c r="A958" s="1" t="s">
        <v>1996</v>
      </c>
      <c r="B958" s="1" t="s">
        <v>1939</v>
      </c>
      <c r="C958" s="1" t="s">
        <v>1997</v>
      </c>
    </row>
    <row r="959" spans="1:3" x14ac:dyDescent="0.1">
      <c r="A959" s="1" t="s">
        <v>1998</v>
      </c>
      <c r="B959" s="1" t="s">
        <v>1939</v>
      </c>
      <c r="C959" s="1" t="s">
        <v>1999</v>
      </c>
    </row>
    <row r="960" spans="1:3" x14ac:dyDescent="0.1">
      <c r="A960" s="1" t="s">
        <v>2000</v>
      </c>
      <c r="B960" s="1" t="s">
        <v>1939</v>
      </c>
      <c r="C960" s="1" t="s">
        <v>2001</v>
      </c>
    </row>
    <row r="961" spans="1:3" x14ac:dyDescent="0.1">
      <c r="A961" s="1" t="s">
        <v>2002</v>
      </c>
      <c r="B961" s="1" t="s">
        <v>1939</v>
      </c>
      <c r="C961" s="1" t="s">
        <v>426</v>
      </c>
    </row>
    <row r="962" spans="1:3" x14ac:dyDescent="0.1">
      <c r="A962" s="1" t="s">
        <v>2003</v>
      </c>
      <c r="B962" s="1" t="s">
        <v>1939</v>
      </c>
      <c r="C962" s="1" t="s">
        <v>2004</v>
      </c>
    </row>
    <row r="963" spans="1:3" x14ac:dyDescent="0.1">
      <c r="A963" s="1" t="s">
        <v>2005</v>
      </c>
      <c r="B963" s="1" t="s">
        <v>1939</v>
      </c>
      <c r="C963" s="1" t="s">
        <v>2006</v>
      </c>
    </row>
    <row r="964" spans="1:3" x14ac:dyDescent="0.1">
      <c r="A964" s="1" t="s">
        <v>2007</v>
      </c>
      <c r="B964" s="1" t="s">
        <v>1939</v>
      </c>
      <c r="C964" s="1" t="s">
        <v>2008</v>
      </c>
    </row>
    <row r="965" spans="1:3" x14ac:dyDescent="0.1">
      <c r="A965" s="1" t="s">
        <v>2009</v>
      </c>
      <c r="B965" s="1" t="s">
        <v>1939</v>
      </c>
      <c r="C965" s="1" t="s">
        <v>2010</v>
      </c>
    </row>
    <row r="966" spans="1:3" x14ac:dyDescent="0.1">
      <c r="A966" s="1" t="s">
        <v>2011</v>
      </c>
      <c r="B966" s="1" t="s">
        <v>1939</v>
      </c>
      <c r="C966" s="1" t="s">
        <v>2012</v>
      </c>
    </row>
    <row r="967" spans="1:3" x14ac:dyDescent="0.1">
      <c r="A967" s="1" t="s">
        <v>2013</v>
      </c>
      <c r="B967" s="1" t="s">
        <v>1939</v>
      </c>
      <c r="C967" s="1" t="s">
        <v>2014</v>
      </c>
    </row>
    <row r="968" spans="1:3" x14ac:dyDescent="0.1">
      <c r="A968" s="1" t="s">
        <v>2015</v>
      </c>
      <c r="B968" s="1" t="s">
        <v>1939</v>
      </c>
      <c r="C968" s="1" t="s">
        <v>2016</v>
      </c>
    </row>
    <row r="969" spans="1:3" x14ac:dyDescent="0.1">
      <c r="A969" s="1" t="s">
        <v>2017</v>
      </c>
      <c r="B969" s="1" t="s">
        <v>1939</v>
      </c>
      <c r="C969" s="1" t="s">
        <v>2018</v>
      </c>
    </row>
    <row r="970" spans="1:3" x14ac:dyDescent="0.1">
      <c r="A970" s="1" t="s">
        <v>2019</v>
      </c>
      <c r="B970" s="1" t="s">
        <v>1939</v>
      </c>
      <c r="C970" s="1" t="s">
        <v>2020</v>
      </c>
    </row>
    <row r="971" spans="1:3" x14ac:dyDescent="0.1">
      <c r="A971" s="1" t="s">
        <v>2021</v>
      </c>
      <c r="B971" s="1" t="s">
        <v>1939</v>
      </c>
      <c r="C971" s="1" t="s">
        <v>2022</v>
      </c>
    </row>
    <row r="972" spans="1:3" x14ac:dyDescent="0.1">
      <c r="A972" s="5" t="s">
        <v>2023</v>
      </c>
      <c r="B972" s="5" t="s">
        <v>2024</v>
      </c>
      <c r="C972" s="2"/>
    </row>
    <row r="973" spans="1:3" x14ac:dyDescent="0.1">
      <c r="A973" s="1" t="s">
        <v>2025</v>
      </c>
      <c r="B973" s="1" t="s">
        <v>2024</v>
      </c>
      <c r="C973" s="1" t="s">
        <v>2026</v>
      </c>
    </row>
    <row r="974" spans="1:3" x14ac:dyDescent="0.1">
      <c r="A974" s="1" t="s">
        <v>2027</v>
      </c>
      <c r="B974" s="1" t="s">
        <v>2024</v>
      </c>
      <c r="C974" s="1" t="s">
        <v>2028</v>
      </c>
    </row>
    <row r="975" spans="1:3" x14ac:dyDescent="0.1">
      <c r="A975" s="1" t="s">
        <v>2029</v>
      </c>
      <c r="B975" s="1" t="s">
        <v>2024</v>
      </c>
      <c r="C975" s="1" t="s">
        <v>2030</v>
      </c>
    </row>
    <row r="976" spans="1:3" x14ac:dyDescent="0.1">
      <c r="A976" s="1" t="s">
        <v>2031</v>
      </c>
      <c r="B976" s="1" t="s">
        <v>2024</v>
      </c>
      <c r="C976" s="1" t="s">
        <v>2032</v>
      </c>
    </row>
    <row r="977" spans="1:3" x14ac:dyDescent="0.1">
      <c r="A977" s="1" t="s">
        <v>2033</v>
      </c>
      <c r="B977" s="1" t="s">
        <v>2024</v>
      </c>
      <c r="C977" s="1" t="s">
        <v>2034</v>
      </c>
    </row>
    <row r="978" spans="1:3" x14ac:dyDescent="0.1">
      <c r="A978" s="1" t="s">
        <v>2035</v>
      </c>
      <c r="B978" s="1" t="s">
        <v>2024</v>
      </c>
      <c r="C978" s="1" t="s">
        <v>2036</v>
      </c>
    </row>
    <row r="979" spans="1:3" x14ac:dyDescent="0.1">
      <c r="A979" s="1" t="s">
        <v>2037</v>
      </c>
      <c r="B979" s="1" t="s">
        <v>2024</v>
      </c>
      <c r="C979" s="1" t="s">
        <v>2038</v>
      </c>
    </row>
    <row r="980" spans="1:3" x14ac:dyDescent="0.1">
      <c r="A980" s="1" t="s">
        <v>2039</v>
      </c>
      <c r="B980" s="1" t="s">
        <v>2024</v>
      </c>
      <c r="C980" s="1" t="s">
        <v>2040</v>
      </c>
    </row>
    <row r="981" spans="1:3" x14ac:dyDescent="0.1">
      <c r="A981" s="1" t="s">
        <v>2041</v>
      </c>
      <c r="B981" s="1" t="s">
        <v>2024</v>
      </c>
      <c r="C981" s="1" t="s">
        <v>2042</v>
      </c>
    </row>
    <row r="982" spans="1:3" x14ac:dyDescent="0.1">
      <c r="A982" s="1" t="s">
        <v>2043</v>
      </c>
      <c r="B982" s="1" t="s">
        <v>2024</v>
      </c>
      <c r="C982" s="1" t="s">
        <v>2044</v>
      </c>
    </row>
    <row r="983" spans="1:3" x14ac:dyDescent="0.1">
      <c r="A983" s="1" t="s">
        <v>2045</v>
      </c>
      <c r="B983" s="1" t="s">
        <v>2024</v>
      </c>
      <c r="C983" s="1" t="s">
        <v>2046</v>
      </c>
    </row>
    <row r="984" spans="1:3" x14ac:dyDescent="0.1">
      <c r="A984" s="1" t="s">
        <v>2047</v>
      </c>
      <c r="B984" s="1" t="s">
        <v>2024</v>
      </c>
      <c r="C984" s="1" t="s">
        <v>2048</v>
      </c>
    </row>
    <row r="985" spans="1:3" x14ac:dyDescent="0.1">
      <c r="A985" s="1" t="s">
        <v>2049</v>
      </c>
      <c r="B985" s="1" t="s">
        <v>2024</v>
      </c>
      <c r="C985" s="1" t="s">
        <v>2050</v>
      </c>
    </row>
    <row r="986" spans="1:3" x14ac:dyDescent="0.1">
      <c r="A986" s="1" t="s">
        <v>2051</v>
      </c>
      <c r="B986" s="1" t="s">
        <v>2024</v>
      </c>
      <c r="C986" s="1" t="s">
        <v>2052</v>
      </c>
    </row>
    <row r="987" spans="1:3" x14ac:dyDescent="0.1">
      <c r="A987" s="1" t="s">
        <v>2053</v>
      </c>
      <c r="B987" s="1" t="s">
        <v>2024</v>
      </c>
      <c r="C987" s="1" t="s">
        <v>2054</v>
      </c>
    </row>
    <row r="988" spans="1:3" x14ac:dyDescent="0.1">
      <c r="A988" s="1" t="s">
        <v>2055</v>
      </c>
      <c r="B988" s="1" t="s">
        <v>2024</v>
      </c>
      <c r="C988" s="1" t="s">
        <v>2056</v>
      </c>
    </row>
    <row r="989" spans="1:3" x14ac:dyDescent="0.1">
      <c r="A989" s="1" t="s">
        <v>2057</v>
      </c>
      <c r="B989" s="1" t="s">
        <v>2024</v>
      </c>
      <c r="C989" s="1" t="s">
        <v>2058</v>
      </c>
    </row>
    <row r="990" spans="1:3" x14ac:dyDescent="0.1">
      <c r="A990" s="1" t="s">
        <v>2059</v>
      </c>
      <c r="B990" s="1" t="s">
        <v>2024</v>
      </c>
      <c r="C990" s="1" t="s">
        <v>2060</v>
      </c>
    </row>
    <row r="991" spans="1:3" x14ac:dyDescent="0.1">
      <c r="A991" s="1" t="s">
        <v>2061</v>
      </c>
      <c r="B991" s="1" t="s">
        <v>2024</v>
      </c>
      <c r="C991" s="1" t="s">
        <v>2062</v>
      </c>
    </row>
    <row r="992" spans="1:3" x14ac:dyDescent="0.1">
      <c r="A992" s="1" t="s">
        <v>2063</v>
      </c>
      <c r="B992" s="1" t="s">
        <v>2024</v>
      </c>
      <c r="C992" s="1" t="s">
        <v>2064</v>
      </c>
    </row>
    <row r="993" spans="1:3" x14ac:dyDescent="0.1">
      <c r="A993" s="1" t="s">
        <v>2065</v>
      </c>
      <c r="B993" s="1" t="s">
        <v>2024</v>
      </c>
      <c r="C993" s="1" t="s">
        <v>2066</v>
      </c>
    </row>
    <row r="994" spans="1:3" x14ac:dyDescent="0.1">
      <c r="A994" s="1" t="s">
        <v>2067</v>
      </c>
      <c r="B994" s="1" t="s">
        <v>2024</v>
      </c>
      <c r="C994" s="1" t="s">
        <v>2068</v>
      </c>
    </row>
    <row r="995" spans="1:3" x14ac:dyDescent="0.1">
      <c r="A995" s="1" t="s">
        <v>2069</v>
      </c>
      <c r="B995" s="1" t="s">
        <v>2024</v>
      </c>
      <c r="C995" s="1" t="s">
        <v>2070</v>
      </c>
    </row>
    <row r="996" spans="1:3" x14ac:dyDescent="0.1">
      <c r="A996" s="1" t="s">
        <v>2071</v>
      </c>
      <c r="B996" s="1" t="s">
        <v>2024</v>
      </c>
      <c r="C996" s="1" t="s">
        <v>2072</v>
      </c>
    </row>
    <row r="997" spans="1:3" x14ac:dyDescent="0.1">
      <c r="A997" s="1" t="s">
        <v>2073</v>
      </c>
      <c r="B997" s="1" t="s">
        <v>2024</v>
      </c>
      <c r="C997" s="1" t="s">
        <v>2074</v>
      </c>
    </row>
    <row r="998" spans="1:3" x14ac:dyDescent="0.1">
      <c r="A998" s="1" t="s">
        <v>2075</v>
      </c>
      <c r="B998" s="1" t="s">
        <v>2024</v>
      </c>
      <c r="C998" s="1" t="s">
        <v>2076</v>
      </c>
    </row>
    <row r="999" spans="1:3" x14ac:dyDescent="0.1">
      <c r="A999" s="1" t="s">
        <v>2077</v>
      </c>
      <c r="B999" s="1" t="s">
        <v>2024</v>
      </c>
      <c r="C999" s="1" t="s">
        <v>2078</v>
      </c>
    </row>
    <row r="1000" spans="1:3" x14ac:dyDescent="0.1">
      <c r="A1000" s="1" t="s">
        <v>2079</v>
      </c>
      <c r="B1000" s="1" t="s">
        <v>2024</v>
      </c>
      <c r="C1000" s="1" t="s">
        <v>2080</v>
      </c>
    </row>
    <row r="1001" spans="1:3" x14ac:dyDescent="0.1">
      <c r="A1001" s="1" t="s">
        <v>2081</v>
      </c>
      <c r="B1001" s="1" t="s">
        <v>2024</v>
      </c>
      <c r="C1001" s="1" t="s">
        <v>2082</v>
      </c>
    </row>
    <row r="1002" spans="1:3" x14ac:dyDescent="0.1">
      <c r="A1002" s="1" t="s">
        <v>2083</v>
      </c>
      <c r="B1002" s="1" t="s">
        <v>2024</v>
      </c>
      <c r="C1002" s="1" t="s">
        <v>412</v>
      </c>
    </row>
    <row r="1003" spans="1:3" x14ac:dyDescent="0.1">
      <c r="A1003" s="1" t="s">
        <v>2084</v>
      </c>
      <c r="B1003" s="1" t="s">
        <v>2024</v>
      </c>
      <c r="C1003" s="1" t="s">
        <v>2085</v>
      </c>
    </row>
    <row r="1004" spans="1:3" x14ac:dyDescent="0.1">
      <c r="A1004" s="1" t="s">
        <v>2086</v>
      </c>
      <c r="B1004" s="1" t="s">
        <v>2024</v>
      </c>
      <c r="C1004" s="1" t="s">
        <v>2087</v>
      </c>
    </row>
    <row r="1005" spans="1:3" x14ac:dyDescent="0.1">
      <c r="A1005" s="1" t="s">
        <v>2088</v>
      </c>
      <c r="B1005" s="1" t="s">
        <v>2024</v>
      </c>
      <c r="C1005" s="1" t="s">
        <v>2089</v>
      </c>
    </row>
    <row r="1006" spans="1:3" x14ac:dyDescent="0.1">
      <c r="A1006" s="1" t="s">
        <v>2090</v>
      </c>
      <c r="B1006" s="1" t="s">
        <v>2024</v>
      </c>
      <c r="C1006" s="1" t="s">
        <v>2091</v>
      </c>
    </row>
    <row r="1007" spans="1:3" x14ac:dyDescent="0.1">
      <c r="A1007" s="1" t="s">
        <v>2092</v>
      </c>
      <c r="B1007" s="1" t="s">
        <v>2024</v>
      </c>
      <c r="C1007" s="1" t="s">
        <v>189</v>
      </c>
    </row>
    <row r="1008" spans="1:3" x14ac:dyDescent="0.1">
      <c r="A1008" s="5" t="s">
        <v>2093</v>
      </c>
      <c r="B1008" s="5" t="s">
        <v>2094</v>
      </c>
      <c r="C1008" s="2"/>
    </row>
    <row r="1009" spans="1:3" x14ac:dyDescent="0.1">
      <c r="A1009" s="1" t="s">
        <v>2095</v>
      </c>
      <c r="B1009" s="1" t="s">
        <v>2094</v>
      </c>
      <c r="C1009" s="1" t="s">
        <v>2096</v>
      </c>
    </row>
    <row r="1010" spans="1:3" x14ac:dyDescent="0.1">
      <c r="A1010" s="1" t="s">
        <v>2097</v>
      </c>
      <c r="B1010" s="1" t="s">
        <v>2094</v>
      </c>
      <c r="C1010" s="1" t="s">
        <v>2098</v>
      </c>
    </row>
    <row r="1011" spans="1:3" x14ac:dyDescent="0.1">
      <c r="A1011" s="1" t="s">
        <v>2099</v>
      </c>
      <c r="B1011" s="1" t="s">
        <v>2094</v>
      </c>
      <c r="C1011" s="1" t="s">
        <v>2100</v>
      </c>
    </row>
    <row r="1012" spans="1:3" x14ac:dyDescent="0.1">
      <c r="A1012" s="1" t="s">
        <v>2101</v>
      </c>
      <c r="B1012" s="1" t="s">
        <v>2094</v>
      </c>
      <c r="C1012" s="1" t="s">
        <v>2102</v>
      </c>
    </row>
    <row r="1013" spans="1:3" x14ac:dyDescent="0.1">
      <c r="A1013" s="1" t="s">
        <v>2103</v>
      </c>
      <c r="B1013" s="1" t="s">
        <v>2094</v>
      </c>
      <c r="C1013" s="1" t="s">
        <v>2104</v>
      </c>
    </row>
    <row r="1014" spans="1:3" x14ac:dyDescent="0.1">
      <c r="A1014" s="1" t="s">
        <v>2105</v>
      </c>
      <c r="B1014" s="1" t="s">
        <v>2094</v>
      </c>
      <c r="C1014" s="1" t="s">
        <v>2106</v>
      </c>
    </row>
    <row r="1015" spans="1:3" x14ac:dyDescent="0.1">
      <c r="A1015" s="1" t="s">
        <v>2107</v>
      </c>
      <c r="B1015" s="1" t="s">
        <v>2094</v>
      </c>
      <c r="C1015" s="1" t="s">
        <v>2108</v>
      </c>
    </row>
    <row r="1016" spans="1:3" x14ac:dyDescent="0.1">
      <c r="A1016" s="1" t="s">
        <v>2109</v>
      </c>
      <c r="B1016" s="1" t="s">
        <v>2094</v>
      </c>
      <c r="C1016" s="1" t="s">
        <v>2110</v>
      </c>
    </row>
    <row r="1017" spans="1:3" x14ac:dyDescent="0.1">
      <c r="A1017" s="1" t="s">
        <v>2111</v>
      </c>
      <c r="B1017" s="1" t="s">
        <v>2094</v>
      </c>
      <c r="C1017" s="1" t="s">
        <v>2112</v>
      </c>
    </row>
    <row r="1018" spans="1:3" x14ac:dyDescent="0.1">
      <c r="A1018" s="1" t="s">
        <v>2113</v>
      </c>
      <c r="B1018" s="1" t="s">
        <v>2094</v>
      </c>
      <c r="C1018" s="1" t="s">
        <v>2114</v>
      </c>
    </row>
    <row r="1019" spans="1:3" x14ac:dyDescent="0.1">
      <c r="A1019" s="1" t="s">
        <v>2115</v>
      </c>
      <c r="B1019" s="1" t="s">
        <v>2094</v>
      </c>
      <c r="C1019" s="1" t="s">
        <v>2116</v>
      </c>
    </row>
    <row r="1020" spans="1:3" x14ac:dyDescent="0.1">
      <c r="A1020" s="1" t="s">
        <v>2117</v>
      </c>
      <c r="B1020" s="1" t="s">
        <v>2094</v>
      </c>
      <c r="C1020" s="1" t="s">
        <v>2118</v>
      </c>
    </row>
    <row r="1021" spans="1:3" x14ac:dyDescent="0.1">
      <c r="A1021" s="1" t="s">
        <v>2119</v>
      </c>
      <c r="B1021" s="1" t="s">
        <v>2094</v>
      </c>
      <c r="C1021" s="1" t="s">
        <v>2120</v>
      </c>
    </row>
    <row r="1022" spans="1:3" x14ac:dyDescent="0.1">
      <c r="A1022" s="1" t="s">
        <v>2121</v>
      </c>
      <c r="B1022" s="1" t="s">
        <v>2094</v>
      </c>
      <c r="C1022" s="1" t="s">
        <v>2122</v>
      </c>
    </row>
    <row r="1023" spans="1:3" x14ac:dyDescent="0.1">
      <c r="A1023" s="1" t="s">
        <v>2123</v>
      </c>
      <c r="B1023" s="1" t="s">
        <v>2094</v>
      </c>
      <c r="C1023" s="1" t="s">
        <v>2124</v>
      </c>
    </row>
    <row r="1024" spans="1:3" x14ac:dyDescent="0.1">
      <c r="A1024" s="1" t="s">
        <v>2125</v>
      </c>
      <c r="B1024" s="1" t="s">
        <v>2094</v>
      </c>
      <c r="C1024" s="1" t="s">
        <v>2126</v>
      </c>
    </row>
    <row r="1025" spans="1:3" x14ac:dyDescent="0.1">
      <c r="A1025" s="1" t="s">
        <v>2127</v>
      </c>
      <c r="B1025" s="1" t="s">
        <v>2094</v>
      </c>
      <c r="C1025" s="1" t="s">
        <v>2128</v>
      </c>
    </row>
    <row r="1026" spans="1:3" x14ac:dyDescent="0.1">
      <c r="A1026" s="1" t="s">
        <v>2129</v>
      </c>
      <c r="B1026" s="1" t="s">
        <v>2094</v>
      </c>
      <c r="C1026" s="1" t="s">
        <v>2130</v>
      </c>
    </row>
    <row r="1027" spans="1:3" x14ac:dyDescent="0.1">
      <c r="A1027" s="1" t="s">
        <v>2131</v>
      </c>
      <c r="B1027" s="1" t="s">
        <v>2094</v>
      </c>
      <c r="C1027" s="1" t="s">
        <v>2132</v>
      </c>
    </row>
    <row r="1028" spans="1:3" x14ac:dyDescent="0.1">
      <c r="A1028" s="1" t="s">
        <v>2133</v>
      </c>
      <c r="B1028" s="1" t="s">
        <v>2094</v>
      </c>
      <c r="C1028" s="1" t="s">
        <v>2134</v>
      </c>
    </row>
    <row r="1029" spans="1:3" x14ac:dyDescent="0.1">
      <c r="A1029" s="1" t="s">
        <v>2135</v>
      </c>
      <c r="B1029" s="1" t="s">
        <v>2094</v>
      </c>
      <c r="C1029" s="1" t="s">
        <v>2136</v>
      </c>
    </row>
    <row r="1030" spans="1:3" x14ac:dyDescent="0.1">
      <c r="A1030" s="1" t="s">
        <v>2137</v>
      </c>
      <c r="B1030" s="1" t="s">
        <v>2094</v>
      </c>
      <c r="C1030" s="1" t="s">
        <v>2138</v>
      </c>
    </row>
    <row r="1031" spans="1:3" x14ac:dyDescent="0.1">
      <c r="A1031" s="1" t="s">
        <v>2139</v>
      </c>
      <c r="B1031" s="1" t="s">
        <v>2094</v>
      </c>
      <c r="C1031" s="1" t="s">
        <v>2140</v>
      </c>
    </row>
    <row r="1032" spans="1:3" x14ac:dyDescent="0.1">
      <c r="A1032" s="1" t="s">
        <v>2141</v>
      </c>
      <c r="B1032" s="1" t="s">
        <v>2094</v>
      </c>
      <c r="C1032" s="1" t="s">
        <v>2142</v>
      </c>
    </row>
    <row r="1033" spans="1:3" x14ac:dyDescent="0.1">
      <c r="A1033" s="1" t="s">
        <v>2143</v>
      </c>
      <c r="B1033" s="1" t="s">
        <v>2094</v>
      </c>
      <c r="C1033" s="1" t="s">
        <v>2144</v>
      </c>
    </row>
    <row r="1034" spans="1:3" x14ac:dyDescent="0.1">
      <c r="A1034" s="1" t="s">
        <v>2145</v>
      </c>
      <c r="B1034" s="1" t="s">
        <v>2094</v>
      </c>
      <c r="C1034" s="1" t="s">
        <v>2146</v>
      </c>
    </row>
    <row r="1035" spans="1:3" x14ac:dyDescent="0.1">
      <c r="A1035" s="1" t="s">
        <v>2147</v>
      </c>
      <c r="B1035" s="1" t="s">
        <v>2094</v>
      </c>
      <c r="C1035" s="1" t="s">
        <v>2148</v>
      </c>
    </row>
    <row r="1036" spans="1:3" x14ac:dyDescent="0.1">
      <c r="A1036" s="1" t="s">
        <v>2149</v>
      </c>
      <c r="B1036" s="1" t="s">
        <v>2094</v>
      </c>
      <c r="C1036" s="1" t="s">
        <v>2150</v>
      </c>
    </row>
    <row r="1037" spans="1:3" x14ac:dyDescent="0.1">
      <c r="A1037" s="1" t="s">
        <v>2151</v>
      </c>
      <c r="B1037" s="1" t="s">
        <v>2094</v>
      </c>
      <c r="C1037" s="1" t="s">
        <v>2152</v>
      </c>
    </row>
    <row r="1038" spans="1:3" x14ac:dyDescent="0.1">
      <c r="A1038" s="1" t="s">
        <v>2153</v>
      </c>
      <c r="B1038" s="1" t="s">
        <v>2094</v>
      </c>
      <c r="C1038" s="1" t="s">
        <v>2154</v>
      </c>
    </row>
    <row r="1039" spans="1:3" x14ac:dyDescent="0.1">
      <c r="A1039" s="1" t="s">
        <v>2155</v>
      </c>
      <c r="B1039" s="1" t="s">
        <v>2094</v>
      </c>
      <c r="C1039" s="1" t="s">
        <v>2156</v>
      </c>
    </row>
    <row r="1040" spans="1:3" x14ac:dyDescent="0.1">
      <c r="A1040" s="1" t="s">
        <v>2157</v>
      </c>
      <c r="B1040" s="1" t="s">
        <v>2094</v>
      </c>
      <c r="C1040" s="1" t="s">
        <v>2158</v>
      </c>
    </row>
    <row r="1041" spans="1:3" x14ac:dyDescent="0.1">
      <c r="A1041" s="1" t="s">
        <v>2159</v>
      </c>
      <c r="B1041" s="1" t="s">
        <v>2094</v>
      </c>
      <c r="C1041" s="1" t="s">
        <v>2160</v>
      </c>
    </row>
    <row r="1042" spans="1:3" x14ac:dyDescent="0.1">
      <c r="A1042" s="1" t="s">
        <v>2161</v>
      </c>
      <c r="B1042" s="1" t="s">
        <v>2094</v>
      </c>
      <c r="C1042" s="1" t="s">
        <v>2162</v>
      </c>
    </row>
    <row r="1043" spans="1:3" x14ac:dyDescent="0.1">
      <c r="A1043" s="1" t="s">
        <v>2163</v>
      </c>
      <c r="B1043" s="1" t="s">
        <v>2094</v>
      </c>
      <c r="C1043" s="1" t="s">
        <v>2164</v>
      </c>
    </row>
    <row r="1044" spans="1:3" x14ac:dyDescent="0.1">
      <c r="A1044" s="1" t="s">
        <v>2165</v>
      </c>
      <c r="B1044" s="1" t="s">
        <v>2094</v>
      </c>
      <c r="C1044" s="1" t="s">
        <v>2166</v>
      </c>
    </row>
    <row r="1045" spans="1:3" x14ac:dyDescent="0.1">
      <c r="A1045" s="1" t="s">
        <v>2167</v>
      </c>
      <c r="B1045" s="1" t="s">
        <v>2094</v>
      </c>
      <c r="C1045" s="1" t="s">
        <v>2168</v>
      </c>
    </row>
    <row r="1046" spans="1:3" x14ac:dyDescent="0.1">
      <c r="A1046" s="1" t="s">
        <v>2169</v>
      </c>
      <c r="B1046" s="1" t="s">
        <v>2094</v>
      </c>
      <c r="C1046" s="1" t="s">
        <v>2170</v>
      </c>
    </row>
    <row r="1047" spans="1:3" x14ac:dyDescent="0.1">
      <c r="A1047" s="1" t="s">
        <v>2171</v>
      </c>
      <c r="B1047" s="1" t="s">
        <v>2094</v>
      </c>
      <c r="C1047" s="1" t="s">
        <v>2172</v>
      </c>
    </row>
    <row r="1048" spans="1:3" x14ac:dyDescent="0.1">
      <c r="A1048" s="1" t="s">
        <v>2173</v>
      </c>
      <c r="B1048" s="1" t="s">
        <v>2094</v>
      </c>
      <c r="C1048" s="1" t="s">
        <v>2174</v>
      </c>
    </row>
    <row r="1049" spans="1:3" x14ac:dyDescent="0.1">
      <c r="A1049" s="1" t="s">
        <v>2175</v>
      </c>
      <c r="B1049" s="1" t="s">
        <v>2094</v>
      </c>
      <c r="C1049" s="1" t="s">
        <v>2176</v>
      </c>
    </row>
    <row r="1050" spans="1:3" x14ac:dyDescent="0.1">
      <c r="A1050" s="1" t="s">
        <v>2177</v>
      </c>
      <c r="B1050" s="1" t="s">
        <v>2094</v>
      </c>
      <c r="C1050" s="1" t="s">
        <v>2178</v>
      </c>
    </row>
    <row r="1051" spans="1:3" x14ac:dyDescent="0.1">
      <c r="A1051" s="1" t="s">
        <v>2179</v>
      </c>
      <c r="B1051" s="1" t="s">
        <v>2094</v>
      </c>
      <c r="C1051" s="1" t="s">
        <v>2180</v>
      </c>
    </row>
    <row r="1052" spans="1:3" x14ac:dyDescent="0.1">
      <c r="A1052" s="1" t="s">
        <v>2181</v>
      </c>
      <c r="B1052" s="1" t="s">
        <v>2094</v>
      </c>
      <c r="C1052" s="1" t="s">
        <v>2182</v>
      </c>
    </row>
    <row r="1053" spans="1:3" x14ac:dyDescent="0.1">
      <c r="A1053" s="1" t="s">
        <v>2183</v>
      </c>
      <c r="B1053" s="1" t="s">
        <v>2094</v>
      </c>
      <c r="C1053" s="1" t="s">
        <v>2184</v>
      </c>
    </row>
    <row r="1054" spans="1:3" x14ac:dyDescent="0.1">
      <c r="A1054" s="1" t="s">
        <v>2185</v>
      </c>
      <c r="B1054" s="1" t="s">
        <v>2094</v>
      </c>
      <c r="C1054" s="1" t="s">
        <v>2186</v>
      </c>
    </row>
    <row r="1055" spans="1:3" x14ac:dyDescent="0.1">
      <c r="A1055" s="1" t="s">
        <v>2187</v>
      </c>
      <c r="B1055" s="1" t="s">
        <v>2094</v>
      </c>
      <c r="C1055" s="1" t="s">
        <v>2188</v>
      </c>
    </row>
    <row r="1056" spans="1:3" x14ac:dyDescent="0.1">
      <c r="A1056" s="1" t="s">
        <v>2189</v>
      </c>
      <c r="B1056" s="1" t="s">
        <v>2094</v>
      </c>
      <c r="C1056" s="1" t="s">
        <v>2190</v>
      </c>
    </row>
    <row r="1057" spans="1:3" x14ac:dyDescent="0.1">
      <c r="A1057" s="1" t="s">
        <v>2191</v>
      </c>
      <c r="B1057" s="1" t="s">
        <v>2094</v>
      </c>
      <c r="C1057" s="1" t="s">
        <v>1723</v>
      </c>
    </row>
    <row r="1058" spans="1:3" x14ac:dyDescent="0.1">
      <c r="A1058" s="1" t="s">
        <v>2192</v>
      </c>
      <c r="B1058" s="1" t="s">
        <v>2094</v>
      </c>
      <c r="C1058" s="1" t="s">
        <v>2193</v>
      </c>
    </row>
    <row r="1059" spans="1:3" x14ac:dyDescent="0.1">
      <c r="A1059" s="1" t="s">
        <v>2194</v>
      </c>
      <c r="B1059" s="1" t="s">
        <v>2094</v>
      </c>
      <c r="C1059" s="1" t="s">
        <v>2195</v>
      </c>
    </row>
    <row r="1060" spans="1:3" x14ac:dyDescent="0.1">
      <c r="A1060" s="1" t="s">
        <v>2196</v>
      </c>
      <c r="B1060" s="1" t="s">
        <v>2094</v>
      </c>
      <c r="C1060" s="1" t="s">
        <v>2197</v>
      </c>
    </row>
    <row r="1061" spans="1:3" x14ac:dyDescent="0.1">
      <c r="A1061" s="1" t="s">
        <v>2198</v>
      </c>
      <c r="B1061" s="1" t="s">
        <v>2094</v>
      </c>
      <c r="C1061" s="1" t="s">
        <v>2199</v>
      </c>
    </row>
    <row r="1062" spans="1:3" x14ac:dyDescent="0.1">
      <c r="A1062" s="1" t="s">
        <v>2200</v>
      </c>
      <c r="B1062" s="1" t="s">
        <v>2094</v>
      </c>
      <c r="C1062" s="1" t="s">
        <v>2201</v>
      </c>
    </row>
    <row r="1063" spans="1:3" x14ac:dyDescent="0.1">
      <c r="A1063" s="5" t="s">
        <v>2202</v>
      </c>
      <c r="B1063" s="5" t="s">
        <v>2203</v>
      </c>
      <c r="C1063" s="2"/>
    </row>
    <row r="1064" spans="1:3" x14ac:dyDescent="0.1">
      <c r="A1064" s="1" t="s">
        <v>2204</v>
      </c>
      <c r="B1064" s="1" t="s">
        <v>2203</v>
      </c>
      <c r="C1064" s="1" t="s">
        <v>2205</v>
      </c>
    </row>
    <row r="1065" spans="1:3" x14ac:dyDescent="0.1">
      <c r="A1065" s="1" t="s">
        <v>2206</v>
      </c>
      <c r="B1065" s="1" t="s">
        <v>2203</v>
      </c>
      <c r="C1065" s="1" t="s">
        <v>2207</v>
      </c>
    </row>
    <row r="1066" spans="1:3" x14ac:dyDescent="0.1">
      <c r="A1066" s="1" t="s">
        <v>2208</v>
      </c>
      <c r="B1066" s="1" t="s">
        <v>2203</v>
      </c>
      <c r="C1066" s="1" t="s">
        <v>2209</v>
      </c>
    </row>
    <row r="1067" spans="1:3" x14ac:dyDescent="0.1">
      <c r="A1067" s="1" t="s">
        <v>2210</v>
      </c>
      <c r="B1067" s="1" t="s">
        <v>2203</v>
      </c>
      <c r="C1067" s="1" t="s">
        <v>2211</v>
      </c>
    </row>
    <row r="1068" spans="1:3" x14ac:dyDescent="0.1">
      <c r="A1068" s="1" t="s">
        <v>2212</v>
      </c>
      <c r="B1068" s="1" t="s">
        <v>2203</v>
      </c>
      <c r="C1068" s="1" t="s">
        <v>2213</v>
      </c>
    </row>
    <row r="1069" spans="1:3" x14ac:dyDescent="0.1">
      <c r="A1069" s="1" t="s">
        <v>2214</v>
      </c>
      <c r="B1069" s="1" t="s">
        <v>2203</v>
      </c>
      <c r="C1069" s="1" t="s">
        <v>2215</v>
      </c>
    </row>
    <row r="1070" spans="1:3" x14ac:dyDescent="0.1">
      <c r="A1070" s="1" t="s">
        <v>2216</v>
      </c>
      <c r="B1070" s="1" t="s">
        <v>2203</v>
      </c>
      <c r="C1070" s="1" t="s">
        <v>2217</v>
      </c>
    </row>
    <row r="1071" spans="1:3" x14ac:dyDescent="0.1">
      <c r="A1071" s="1" t="s">
        <v>2218</v>
      </c>
      <c r="B1071" s="1" t="s">
        <v>2203</v>
      </c>
      <c r="C1071" s="1" t="s">
        <v>2219</v>
      </c>
    </row>
    <row r="1072" spans="1:3" x14ac:dyDescent="0.1">
      <c r="A1072" s="1" t="s">
        <v>2220</v>
      </c>
      <c r="B1072" s="1" t="s">
        <v>2203</v>
      </c>
      <c r="C1072" s="1" t="s">
        <v>2221</v>
      </c>
    </row>
    <row r="1073" spans="1:3" x14ac:dyDescent="0.1">
      <c r="A1073" s="1" t="s">
        <v>2222</v>
      </c>
      <c r="B1073" s="1" t="s">
        <v>2203</v>
      </c>
      <c r="C1073" s="1" t="s">
        <v>2223</v>
      </c>
    </row>
    <row r="1074" spans="1:3" x14ac:dyDescent="0.1">
      <c r="A1074" s="1" t="s">
        <v>2224</v>
      </c>
      <c r="B1074" s="1" t="s">
        <v>2203</v>
      </c>
      <c r="C1074" s="1" t="s">
        <v>2225</v>
      </c>
    </row>
    <row r="1075" spans="1:3" x14ac:dyDescent="0.1">
      <c r="A1075" s="1" t="s">
        <v>2226</v>
      </c>
      <c r="B1075" s="1" t="s">
        <v>2203</v>
      </c>
      <c r="C1075" s="1" t="s">
        <v>2227</v>
      </c>
    </row>
    <row r="1076" spans="1:3" x14ac:dyDescent="0.1">
      <c r="A1076" s="1" t="s">
        <v>2228</v>
      </c>
      <c r="B1076" s="1" t="s">
        <v>2203</v>
      </c>
      <c r="C1076" s="1" t="s">
        <v>2229</v>
      </c>
    </row>
    <row r="1077" spans="1:3" x14ac:dyDescent="0.1">
      <c r="A1077" s="1" t="s">
        <v>2230</v>
      </c>
      <c r="B1077" s="1" t="s">
        <v>2203</v>
      </c>
      <c r="C1077" s="1" t="s">
        <v>2231</v>
      </c>
    </row>
    <row r="1078" spans="1:3" x14ac:dyDescent="0.1">
      <c r="A1078" s="1" t="s">
        <v>2232</v>
      </c>
      <c r="B1078" s="1" t="s">
        <v>2203</v>
      </c>
      <c r="C1078" s="1" t="s">
        <v>2233</v>
      </c>
    </row>
    <row r="1079" spans="1:3" x14ac:dyDescent="0.1">
      <c r="A1079" s="1" t="s">
        <v>2234</v>
      </c>
      <c r="B1079" s="1" t="s">
        <v>2203</v>
      </c>
      <c r="C1079" s="1" t="s">
        <v>2235</v>
      </c>
    </row>
    <row r="1080" spans="1:3" x14ac:dyDescent="0.1">
      <c r="A1080" s="1" t="s">
        <v>2236</v>
      </c>
      <c r="B1080" s="1" t="s">
        <v>2203</v>
      </c>
      <c r="C1080" s="1" t="s">
        <v>2237</v>
      </c>
    </row>
    <row r="1081" spans="1:3" x14ac:dyDescent="0.1">
      <c r="A1081" s="1" t="s">
        <v>2238</v>
      </c>
      <c r="B1081" s="1" t="s">
        <v>2203</v>
      </c>
      <c r="C1081" s="1" t="s">
        <v>768</v>
      </c>
    </row>
    <row r="1082" spans="1:3" x14ac:dyDescent="0.1">
      <c r="A1082" s="1" t="s">
        <v>2239</v>
      </c>
      <c r="B1082" s="1" t="s">
        <v>2203</v>
      </c>
      <c r="C1082" s="1" t="s">
        <v>2240</v>
      </c>
    </row>
    <row r="1083" spans="1:3" x14ac:dyDescent="0.1">
      <c r="A1083" s="1" t="s">
        <v>2241</v>
      </c>
      <c r="B1083" s="1" t="s">
        <v>2203</v>
      </c>
      <c r="C1083" s="1" t="s">
        <v>2242</v>
      </c>
    </row>
    <row r="1084" spans="1:3" x14ac:dyDescent="0.1">
      <c r="A1084" s="1" t="s">
        <v>2243</v>
      </c>
      <c r="B1084" s="1" t="s">
        <v>2203</v>
      </c>
      <c r="C1084" s="1" t="s">
        <v>1127</v>
      </c>
    </row>
    <row r="1085" spans="1:3" x14ac:dyDescent="0.1">
      <c r="A1085" s="1" t="s">
        <v>2244</v>
      </c>
      <c r="B1085" s="1" t="s">
        <v>2203</v>
      </c>
      <c r="C1085" s="1" t="s">
        <v>2245</v>
      </c>
    </row>
    <row r="1086" spans="1:3" x14ac:dyDescent="0.1">
      <c r="A1086" s="1" t="s">
        <v>2246</v>
      </c>
      <c r="B1086" s="1" t="s">
        <v>2203</v>
      </c>
      <c r="C1086" s="1" t="s">
        <v>2247</v>
      </c>
    </row>
    <row r="1087" spans="1:3" x14ac:dyDescent="0.1">
      <c r="A1087" s="1" t="s">
        <v>2248</v>
      </c>
      <c r="B1087" s="1" t="s">
        <v>2203</v>
      </c>
      <c r="C1087" s="1" t="s">
        <v>2249</v>
      </c>
    </row>
    <row r="1088" spans="1:3" x14ac:dyDescent="0.1">
      <c r="A1088" s="1" t="s">
        <v>2250</v>
      </c>
      <c r="B1088" s="1" t="s">
        <v>2203</v>
      </c>
      <c r="C1088" s="1" t="s">
        <v>2251</v>
      </c>
    </row>
    <row r="1089" spans="1:3" x14ac:dyDescent="0.1">
      <c r="A1089" s="1" t="s">
        <v>2252</v>
      </c>
      <c r="B1089" s="1" t="s">
        <v>2203</v>
      </c>
      <c r="C1089" s="1" t="s">
        <v>2253</v>
      </c>
    </row>
    <row r="1090" spans="1:3" x14ac:dyDescent="0.1">
      <c r="A1090" s="1" t="s">
        <v>2254</v>
      </c>
      <c r="B1090" s="1" t="s">
        <v>2203</v>
      </c>
      <c r="C1090" s="1" t="s">
        <v>2255</v>
      </c>
    </row>
    <row r="1091" spans="1:3" x14ac:dyDescent="0.1">
      <c r="A1091" s="1" t="s">
        <v>2256</v>
      </c>
      <c r="B1091" s="1" t="s">
        <v>2203</v>
      </c>
      <c r="C1091" s="1" t="s">
        <v>2257</v>
      </c>
    </row>
    <row r="1092" spans="1:3" x14ac:dyDescent="0.1">
      <c r="A1092" s="1" t="s">
        <v>2258</v>
      </c>
      <c r="B1092" s="1" t="s">
        <v>2203</v>
      </c>
      <c r="C1092" s="1" t="s">
        <v>2259</v>
      </c>
    </row>
    <row r="1093" spans="1:3" x14ac:dyDescent="0.1">
      <c r="A1093" s="5" t="s">
        <v>2260</v>
      </c>
      <c r="B1093" s="5" t="s">
        <v>2261</v>
      </c>
      <c r="C1093" s="2"/>
    </row>
    <row r="1094" spans="1:3" x14ac:dyDescent="0.1">
      <c r="A1094" s="1" t="s">
        <v>2262</v>
      </c>
      <c r="B1094" s="1" t="s">
        <v>2261</v>
      </c>
      <c r="C1094" s="1" t="s">
        <v>2263</v>
      </c>
    </row>
    <row r="1095" spans="1:3" x14ac:dyDescent="0.1">
      <c r="A1095" s="1" t="s">
        <v>2264</v>
      </c>
      <c r="B1095" s="1" t="s">
        <v>2261</v>
      </c>
      <c r="C1095" s="1" t="s">
        <v>3639</v>
      </c>
    </row>
    <row r="1096" spans="1:3" x14ac:dyDescent="0.1">
      <c r="A1096" s="1" t="s">
        <v>2265</v>
      </c>
      <c r="B1096" s="1" t="s">
        <v>2261</v>
      </c>
      <c r="C1096" s="1" t="s">
        <v>2266</v>
      </c>
    </row>
    <row r="1097" spans="1:3" x14ac:dyDescent="0.1">
      <c r="A1097" s="1" t="s">
        <v>2267</v>
      </c>
      <c r="B1097" s="1" t="s">
        <v>2261</v>
      </c>
      <c r="C1097" s="1" t="s">
        <v>2268</v>
      </c>
    </row>
    <row r="1098" spans="1:3" x14ac:dyDescent="0.1">
      <c r="A1098" s="1" t="s">
        <v>2269</v>
      </c>
      <c r="B1098" s="1" t="s">
        <v>2261</v>
      </c>
      <c r="C1098" s="1" t="s">
        <v>2270</v>
      </c>
    </row>
    <row r="1099" spans="1:3" x14ac:dyDescent="0.1">
      <c r="A1099" s="1" t="s">
        <v>2271</v>
      </c>
      <c r="B1099" s="1" t="s">
        <v>2261</v>
      </c>
      <c r="C1099" s="1" t="s">
        <v>2272</v>
      </c>
    </row>
    <row r="1100" spans="1:3" x14ac:dyDescent="0.1">
      <c r="A1100" s="1" t="s">
        <v>2273</v>
      </c>
      <c r="B1100" s="1" t="s">
        <v>2261</v>
      </c>
      <c r="C1100" s="1" t="s">
        <v>2274</v>
      </c>
    </row>
    <row r="1101" spans="1:3" x14ac:dyDescent="0.1">
      <c r="A1101" s="1" t="s">
        <v>2275</v>
      </c>
      <c r="B1101" s="1" t="s">
        <v>2261</v>
      </c>
      <c r="C1101" s="1" t="s">
        <v>2276</v>
      </c>
    </row>
    <row r="1102" spans="1:3" x14ac:dyDescent="0.1">
      <c r="A1102" s="1" t="s">
        <v>2277</v>
      </c>
      <c r="B1102" s="1" t="s">
        <v>2261</v>
      </c>
      <c r="C1102" s="1" t="s">
        <v>2278</v>
      </c>
    </row>
    <row r="1103" spans="1:3" x14ac:dyDescent="0.1">
      <c r="A1103" s="1" t="s">
        <v>2279</v>
      </c>
      <c r="B1103" s="1" t="s">
        <v>2261</v>
      </c>
      <c r="C1103" s="1" t="s">
        <v>2280</v>
      </c>
    </row>
    <row r="1104" spans="1:3" x14ac:dyDescent="0.1">
      <c r="A1104" s="1" t="s">
        <v>2281</v>
      </c>
      <c r="B1104" s="1" t="s">
        <v>2261</v>
      </c>
      <c r="C1104" s="1" t="s">
        <v>2282</v>
      </c>
    </row>
    <row r="1105" spans="1:3" x14ac:dyDescent="0.1">
      <c r="A1105" s="1" t="s">
        <v>2283</v>
      </c>
      <c r="B1105" s="1" t="s">
        <v>2261</v>
      </c>
      <c r="C1105" s="1" t="s">
        <v>2284</v>
      </c>
    </row>
    <row r="1106" spans="1:3" x14ac:dyDescent="0.1">
      <c r="A1106" s="1" t="s">
        <v>2285</v>
      </c>
      <c r="B1106" s="1" t="s">
        <v>2261</v>
      </c>
      <c r="C1106" s="1" t="s">
        <v>2286</v>
      </c>
    </row>
    <row r="1107" spans="1:3" x14ac:dyDescent="0.1">
      <c r="A1107" s="1" t="s">
        <v>2287</v>
      </c>
      <c r="B1107" s="1" t="s">
        <v>2261</v>
      </c>
      <c r="C1107" s="1" t="s">
        <v>2288</v>
      </c>
    </row>
    <row r="1108" spans="1:3" x14ac:dyDescent="0.1">
      <c r="A1108" s="1" t="s">
        <v>2289</v>
      </c>
      <c r="B1108" s="1" t="s">
        <v>2261</v>
      </c>
      <c r="C1108" s="1" t="s">
        <v>2290</v>
      </c>
    </row>
    <row r="1109" spans="1:3" x14ac:dyDescent="0.1">
      <c r="A1109" s="1" t="s">
        <v>2291</v>
      </c>
      <c r="B1109" s="1" t="s">
        <v>2261</v>
      </c>
      <c r="C1109" s="1" t="s">
        <v>2292</v>
      </c>
    </row>
    <row r="1110" spans="1:3" x14ac:dyDescent="0.1">
      <c r="A1110" s="1" t="s">
        <v>2293</v>
      </c>
      <c r="B1110" s="1" t="s">
        <v>2261</v>
      </c>
      <c r="C1110" s="1" t="s">
        <v>2294</v>
      </c>
    </row>
    <row r="1111" spans="1:3" x14ac:dyDescent="0.1">
      <c r="A1111" s="1" t="s">
        <v>2295</v>
      </c>
      <c r="B1111" s="1" t="s">
        <v>2261</v>
      </c>
      <c r="C1111" s="1" t="s">
        <v>2296</v>
      </c>
    </row>
    <row r="1112" spans="1:3" x14ac:dyDescent="0.1">
      <c r="A1112" s="1" t="s">
        <v>2297</v>
      </c>
      <c r="B1112" s="1" t="s">
        <v>2261</v>
      </c>
      <c r="C1112" s="1" t="s">
        <v>2298</v>
      </c>
    </row>
    <row r="1113" spans="1:3" x14ac:dyDescent="0.1">
      <c r="A1113" s="5" t="s">
        <v>2299</v>
      </c>
      <c r="B1113" s="5" t="s">
        <v>2300</v>
      </c>
      <c r="C1113" s="2"/>
    </row>
    <row r="1114" spans="1:3" x14ac:dyDescent="0.1">
      <c r="A1114" s="1" t="s">
        <v>2301</v>
      </c>
      <c r="B1114" s="1" t="s">
        <v>2300</v>
      </c>
      <c r="C1114" s="1" t="s">
        <v>2302</v>
      </c>
    </row>
    <row r="1115" spans="1:3" x14ac:dyDescent="0.1">
      <c r="A1115" s="1" t="s">
        <v>2303</v>
      </c>
      <c r="B1115" s="1" t="s">
        <v>2300</v>
      </c>
      <c r="C1115" s="1" t="s">
        <v>2304</v>
      </c>
    </row>
    <row r="1116" spans="1:3" x14ac:dyDescent="0.1">
      <c r="A1116" s="1" t="s">
        <v>2305</v>
      </c>
      <c r="B1116" s="1" t="s">
        <v>2300</v>
      </c>
      <c r="C1116" s="1" t="s">
        <v>2306</v>
      </c>
    </row>
    <row r="1117" spans="1:3" x14ac:dyDescent="0.1">
      <c r="A1117" s="1" t="s">
        <v>2307</v>
      </c>
      <c r="B1117" s="1" t="s">
        <v>2300</v>
      </c>
      <c r="C1117" s="1" t="s">
        <v>2308</v>
      </c>
    </row>
    <row r="1118" spans="1:3" x14ac:dyDescent="0.1">
      <c r="A1118" s="1" t="s">
        <v>2309</v>
      </c>
      <c r="B1118" s="1" t="s">
        <v>2300</v>
      </c>
      <c r="C1118" s="1" t="s">
        <v>2310</v>
      </c>
    </row>
    <row r="1119" spans="1:3" x14ac:dyDescent="0.1">
      <c r="A1119" s="1" t="s">
        <v>2311</v>
      </c>
      <c r="B1119" s="1" t="s">
        <v>2300</v>
      </c>
      <c r="C1119" s="1" t="s">
        <v>2312</v>
      </c>
    </row>
    <row r="1120" spans="1:3" x14ac:dyDescent="0.1">
      <c r="A1120" s="1" t="s">
        <v>2313</v>
      </c>
      <c r="B1120" s="1" t="s">
        <v>2300</v>
      </c>
      <c r="C1120" s="1" t="s">
        <v>2314</v>
      </c>
    </row>
    <row r="1121" spans="1:3" x14ac:dyDescent="0.1">
      <c r="A1121" s="1" t="s">
        <v>2315</v>
      </c>
      <c r="B1121" s="1" t="s">
        <v>2300</v>
      </c>
      <c r="C1121" s="1" t="s">
        <v>2316</v>
      </c>
    </row>
    <row r="1122" spans="1:3" x14ac:dyDescent="0.1">
      <c r="A1122" s="1" t="s">
        <v>2317</v>
      </c>
      <c r="B1122" s="1" t="s">
        <v>2300</v>
      </c>
      <c r="C1122" s="1" t="s">
        <v>2318</v>
      </c>
    </row>
    <row r="1123" spans="1:3" x14ac:dyDescent="0.1">
      <c r="A1123" s="1" t="s">
        <v>2319</v>
      </c>
      <c r="B1123" s="1" t="s">
        <v>2300</v>
      </c>
      <c r="C1123" s="1" t="s">
        <v>2320</v>
      </c>
    </row>
    <row r="1124" spans="1:3" x14ac:dyDescent="0.1">
      <c r="A1124" s="1" t="s">
        <v>2321</v>
      </c>
      <c r="B1124" s="1" t="s">
        <v>2300</v>
      </c>
      <c r="C1124" s="1" t="s">
        <v>2322</v>
      </c>
    </row>
    <row r="1125" spans="1:3" x14ac:dyDescent="0.1">
      <c r="A1125" s="1" t="s">
        <v>2323</v>
      </c>
      <c r="B1125" s="1" t="s">
        <v>2300</v>
      </c>
      <c r="C1125" s="1" t="s">
        <v>2324</v>
      </c>
    </row>
    <row r="1126" spans="1:3" x14ac:dyDescent="0.1">
      <c r="A1126" s="1" t="s">
        <v>2325</v>
      </c>
      <c r="B1126" s="1" t="s">
        <v>2300</v>
      </c>
      <c r="C1126" s="1" t="s">
        <v>2326</v>
      </c>
    </row>
    <row r="1127" spans="1:3" x14ac:dyDescent="0.1">
      <c r="A1127" s="1" t="s">
        <v>2327</v>
      </c>
      <c r="B1127" s="1" t="s">
        <v>2300</v>
      </c>
      <c r="C1127" s="1" t="s">
        <v>2328</v>
      </c>
    </row>
    <row r="1128" spans="1:3" x14ac:dyDescent="0.1">
      <c r="A1128" s="1" t="s">
        <v>2329</v>
      </c>
      <c r="B1128" s="1" t="s">
        <v>2300</v>
      </c>
      <c r="C1128" s="1" t="s">
        <v>2330</v>
      </c>
    </row>
    <row r="1129" spans="1:3" x14ac:dyDescent="0.1">
      <c r="A1129" s="1" t="s">
        <v>2331</v>
      </c>
      <c r="B1129" s="1" t="s">
        <v>2300</v>
      </c>
      <c r="C1129" s="1" t="s">
        <v>2332</v>
      </c>
    </row>
    <row r="1130" spans="1:3" x14ac:dyDescent="0.1">
      <c r="A1130" s="1" t="s">
        <v>2333</v>
      </c>
      <c r="B1130" s="1" t="s">
        <v>2300</v>
      </c>
      <c r="C1130" s="1" t="s">
        <v>2334</v>
      </c>
    </row>
    <row r="1131" spans="1:3" x14ac:dyDescent="0.1">
      <c r="A1131" s="1" t="s">
        <v>2335</v>
      </c>
      <c r="B1131" s="1" t="s">
        <v>2300</v>
      </c>
      <c r="C1131" s="1" t="s">
        <v>2336</v>
      </c>
    </row>
    <row r="1132" spans="1:3" x14ac:dyDescent="0.1">
      <c r="A1132" s="1" t="s">
        <v>2337</v>
      </c>
      <c r="B1132" s="1" t="s">
        <v>2300</v>
      </c>
      <c r="C1132" s="1" t="s">
        <v>2338</v>
      </c>
    </row>
    <row r="1133" spans="1:3" x14ac:dyDescent="0.1">
      <c r="A1133" s="1" t="s">
        <v>2339</v>
      </c>
      <c r="B1133" s="1" t="s">
        <v>2300</v>
      </c>
      <c r="C1133" s="1" t="s">
        <v>2340</v>
      </c>
    </row>
    <row r="1134" spans="1:3" x14ac:dyDescent="0.1">
      <c r="A1134" s="1" t="s">
        <v>2341</v>
      </c>
      <c r="B1134" s="1" t="s">
        <v>2300</v>
      </c>
      <c r="C1134" s="1" t="s">
        <v>2342</v>
      </c>
    </row>
    <row r="1135" spans="1:3" x14ac:dyDescent="0.1">
      <c r="A1135" s="1" t="s">
        <v>2343</v>
      </c>
      <c r="B1135" s="1" t="s">
        <v>2300</v>
      </c>
      <c r="C1135" s="1" t="s">
        <v>2344</v>
      </c>
    </row>
    <row r="1136" spans="1:3" x14ac:dyDescent="0.1">
      <c r="A1136" s="1" t="s">
        <v>2345</v>
      </c>
      <c r="B1136" s="1" t="s">
        <v>2300</v>
      </c>
      <c r="C1136" s="1" t="s">
        <v>2346</v>
      </c>
    </row>
    <row r="1137" spans="1:3" x14ac:dyDescent="0.1">
      <c r="A1137" s="1" t="s">
        <v>2347</v>
      </c>
      <c r="B1137" s="1" t="s">
        <v>2300</v>
      </c>
      <c r="C1137" s="1" t="s">
        <v>2348</v>
      </c>
    </row>
    <row r="1138" spans="1:3" x14ac:dyDescent="0.1">
      <c r="A1138" s="1" t="s">
        <v>2349</v>
      </c>
      <c r="B1138" s="1" t="s">
        <v>2300</v>
      </c>
      <c r="C1138" s="1" t="s">
        <v>2350</v>
      </c>
    </row>
    <row r="1139" spans="1:3" x14ac:dyDescent="0.1">
      <c r="A1139" s="1" t="s">
        <v>2351</v>
      </c>
      <c r="B1139" s="1" t="s">
        <v>2300</v>
      </c>
      <c r="C1139" s="1" t="s">
        <v>2352</v>
      </c>
    </row>
    <row r="1140" spans="1:3" x14ac:dyDescent="0.1">
      <c r="A1140" s="5" t="s">
        <v>2353</v>
      </c>
      <c r="B1140" s="5" t="s">
        <v>2354</v>
      </c>
      <c r="C1140" s="2"/>
    </row>
    <row r="1141" spans="1:3" x14ac:dyDescent="0.1">
      <c r="A1141" s="1" t="s">
        <v>2355</v>
      </c>
      <c r="B1141" s="1" t="s">
        <v>2354</v>
      </c>
      <c r="C1141" s="1" t="s">
        <v>2356</v>
      </c>
    </row>
    <row r="1142" spans="1:3" x14ac:dyDescent="0.1">
      <c r="A1142" s="1" t="s">
        <v>2357</v>
      </c>
      <c r="B1142" s="1" t="s">
        <v>2354</v>
      </c>
      <c r="C1142" s="1" t="s">
        <v>2358</v>
      </c>
    </row>
    <row r="1143" spans="1:3" x14ac:dyDescent="0.1">
      <c r="A1143" s="1" t="s">
        <v>2359</v>
      </c>
      <c r="B1143" s="1" t="s">
        <v>2354</v>
      </c>
      <c r="C1143" s="1" t="s">
        <v>2360</v>
      </c>
    </row>
    <row r="1144" spans="1:3" x14ac:dyDescent="0.1">
      <c r="A1144" s="1" t="s">
        <v>2361</v>
      </c>
      <c r="B1144" s="1" t="s">
        <v>2354</v>
      </c>
      <c r="C1144" s="1" t="s">
        <v>2362</v>
      </c>
    </row>
    <row r="1145" spans="1:3" x14ac:dyDescent="0.1">
      <c r="A1145" s="1" t="s">
        <v>2363</v>
      </c>
      <c r="B1145" s="1" t="s">
        <v>2354</v>
      </c>
      <c r="C1145" s="1" t="s">
        <v>2364</v>
      </c>
    </row>
    <row r="1146" spans="1:3" x14ac:dyDescent="0.1">
      <c r="A1146" s="1" t="s">
        <v>2365</v>
      </c>
      <c r="B1146" s="1" t="s">
        <v>2354</v>
      </c>
      <c r="C1146" s="1" t="s">
        <v>2366</v>
      </c>
    </row>
    <row r="1147" spans="1:3" x14ac:dyDescent="0.1">
      <c r="A1147" s="1" t="s">
        <v>2367</v>
      </c>
      <c r="B1147" s="1" t="s">
        <v>2354</v>
      </c>
      <c r="C1147" s="1" t="s">
        <v>2368</v>
      </c>
    </row>
    <row r="1148" spans="1:3" x14ac:dyDescent="0.1">
      <c r="A1148" s="1" t="s">
        <v>2369</v>
      </c>
      <c r="B1148" s="1" t="s">
        <v>2354</v>
      </c>
      <c r="C1148" s="1" t="s">
        <v>2370</v>
      </c>
    </row>
    <row r="1149" spans="1:3" x14ac:dyDescent="0.1">
      <c r="A1149" s="1" t="s">
        <v>2371</v>
      </c>
      <c r="B1149" s="1" t="s">
        <v>2354</v>
      </c>
      <c r="C1149" s="1" t="s">
        <v>2372</v>
      </c>
    </row>
    <row r="1150" spans="1:3" x14ac:dyDescent="0.1">
      <c r="A1150" s="1" t="s">
        <v>2373</v>
      </c>
      <c r="B1150" s="1" t="s">
        <v>2354</v>
      </c>
      <c r="C1150" s="1" t="s">
        <v>2374</v>
      </c>
    </row>
    <row r="1151" spans="1:3" x14ac:dyDescent="0.1">
      <c r="A1151" s="1" t="s">
        <v>2375</v>
      </c>
      <c r="B1151" s="1" t="s">
        <v>2354</v>
      </c>
      <c r="C1151" s="1" t="s">
        <v>2376</v>
      </c>
    </row>
    <row r="1152" spans="1:3" x14ac:dyDescent="0.1">
      <c r="A1152" s="1" t="s">
        <v>2377</v>
      </c>
      <c r="B1152" s="1" t="s">
        <v>2354</v>
      </c>
      <c r="C1152" s="1" t="s">
        <v>2378</v>
      </c>
    </row>
    <row r="1153" spans="1:3" x14ac:dyDescent="0.1">
      <c r="A1153" s="1" t="s">
        <v>2379</v>
      </c>
      <c r="B1153" s="1" t="s">
        <v>2354</v>
      </c>
      <c r="C1153" s="1" t="s">
        <v>2380</v>
      </c>
    </row>
    <row r="1154" spans="1:3" x14ac:dyDescent="0.1">
      <c r="A1154" s="1" t="s">
        <v>2381</v>
      </c>
      <c r="B1154" s="1" t="s">
        <v>2354</v>
      </c>
      <c r="C1154" s="1" t="s">
        <v>2382</v>
      </c>
    </row>
    <row r="1155" spans="1:3" x14ac:dyDescent="0.1">
      <c r="A1155" s="1" t="s">
        <v>2383</v>
      </c>
      <c r="B1155" s="1" t="s">
        <v>2354</v>
      </c>
      <c r="C1155" s="1" t="s">
        <v>2384</v>
      </c>
    </row>
    <row r="1156" spans="1:3" x14ac:dyDescent="0.1">
      <c r="A1156" s="1" t="s">
        <v>2385</v>
      </c>
      <c r="B1156" s="1" t="s">
        <v>2354</v>
      </c>
      <c r="C1156" s="1" t="s">
        <v>2386</v>
      </c>
    </row>
    <row r="1157" spans="1:3" x14ac:dyDescent="0.1">
      <c r="A1157" s="1" t="s">
        <v>2387</v>
      </c>
      <c r="B1157" s="1" t="s">
        <v>2354</v>
      </c>
      <c r="C1157" s="1" t="s">
        <v>2388</v>
      </c>
    </row>
    <row r="1158" spans="1:3" x14ac:dyDescent="0.1">
      <c r="A1158" s="1" t="s">
        <v>2389</v>
      </c>
      <c r="B1158" s="1" t="s">
        <v>2354</v>
      </c>
      <c r="C1158" s="1" t="s">
        <v>2390</v>
      </c>
    </row>
    <row r="1159" spans="1:3" x14ac:dyDescent="0.1">
      <c r="A1159" s="1" t="s">
        <v>2391</v>
      </c>
      <c r="B1159" s="1" t="s">
        <v>2354</v>
      </c>
      <c r="C1159" s="1" t="s">
        <v>2392</v>
      </c>
    </row>
    <row r="1160" spans="1:3" x14ac:dyDescent="0.1">
      <c r="A1160" s="1" t="s">
        <v>2393</v>
      </c>
      <c r="B1160" s="1" t="s">
        <v>2354</v>
      </c>
      <c r="C1160" s="1" t="s">
        <v>2394</v>
      </c>
    </row>
    <row r="1161" spans="1:3" x14ac:dyDescent="0.1">
      <c r="A1161" s="1" t="s">
        <v>2395</v>
      </c>
      <c r="B1161" s="1" t="s">
        <v>2354</v>
      </c>
      <c r="C1161" s="1" t="s">
        <v>2396</v>
      </c>
    </row>
    <row r="1162" spans="1:3" x14ac:dyDescent="0.1">
      <c r="A1162" s="1" t="s">
        <v>2397</v>
      </c>
      <c r="B1162" s="1" t="s">
        <v>2354</v>
      </c>
      <c r="C1162" s="1" t="s">
        <v>2398</v>
      </c>
    </row>
    <row r="1163" spans="1:3" x14ac:dyDescent="0.1">
      <c r="A1163" s="1" t="s">
        <v>2399</v>
      </c>
      <c r="B1163" s="1" t="s">
        <v>2354</v>
      </c>
      <c r="C1163" s="1" t="s">
        <v>2400</v>
      </c>
    </row>
    <row r="1164" spans="1:3" x14ac:dyDescent="0.1">
      <c r="A1164" s="1" t="s">
        <v>2401</v>
      </c>
      <c r="B1164" s="1" t="s">
        <v>2354</v>
      </c>
      <c r="C1164" s="1" t="s">
        <v>2402</v>
      </c>
    </row>
    <row r="1165" spans="1:3" x14ac:dyDescent="0.1">
      <c r="A1165" s="1" t="s">
        <v>2403</v>
      </c>
      <c r="B1165" s="1" t="s">
        <v>2354</v>
      </c>
      <c r="C1165" s="1" t="s">
        <v>2404</v>
      </c>
    </row>
    <row r="1166" spans="1:3" x14ac:dyDescent="0.1">
      <c r="A1166" s="1" t="s">
        <v>2405</v>
      </c>
      <c r="B1166" s="1" t="s">
        <v>2354</v>
      </c>
      <c r="C1166" s="1" t="s">
        <v>2406</v>
      </c>
    </row>
    <row r="1167" spans="1:3" x14ac:dyDescent="0.1">
      <c r="A1167" s="1" t="s">
        <v>2407</v>
      </c>
      <c r="B1167" s="1" t="s">
        <v>2354</v>
      </c>
      <c r="C1167" s="1" t="s">
        <v>2408</v>
      </c>
    </row>
    <row r="1168" spans="1:3" x14ac:dyDescent="0.1">
      <c r="A1168" s="1" t="s">
        <v>2409</v>
      </c>
      <c r="B1168" s="1" t="s">
        <v>2354</v>
      </c>
      <c r="C1168" s="1" t="s">
        <v>2410</v>
      </c>
    </row>
    <row r="1169" spans="1:3" x14ac:dyDescent="0.1">
      <c r="A1169" s="1" t="s">
        <v>2411</v>
      </c>
      <c r="B1169" s="1" t="s">
        <v>2354</v>
      </c>
      <c r="C1169" s="1" t="s">
        <v>2412</v>
      </c>
    </row>
    <row r="1170" spans="1:3" x14ac:dyDescent="0.1">
      <c r="A1170" s="1" t="s">
        <v>2413</v>
      </c>
      <c r="B1170" s="1" t="s">
        <v>2354</v>
      </c>
      <c r="C1170" s="1" t="s">
        <v>2414</v>
      </c>
    </row>
    <row r="1171" spans="1:3" x14ac:dyDescent="0.1">
      <c r="A1171" s="1" t="s">
        <v>2415</v>
      </c>
      <c r="B1171" s="1" t="s">
        <v>2354</v>
      </c>
      <c r="C1171" s="1" t="s">
        <v>2416</v>
      </c>
    </row>
    <row r="1172" spans="1:3" x14ac:dyDescent="0.1">
      <c r="A1172" s="1" t="s">
        <v>2417</v>
      </c>
      <c r="B1172" s="1" t="s">
        <v>2354</v>
      </c>
      <c r="C1172" s="1" t="s">
        <v>2418</v>
      </c>
    </row>
    <row r="1173" spans="1:3" x14ac:dyDescent="0.1">
      <c r="A1173" s="1" t="s">
        <v>2419</v>
      </c>
      <c r="B1173" s="1" t="s">
        <v>2354</v>
      </c>
      <c r="C1173" s="1" t="s">
        <v>2420</v>
      </c>
    </row>
    <row r="1174" spans="1:3" x14ac:dyDescent="0.1">
      <c r="A1174" s="1" t="s">
        <v>2421</v>
      </c>
      <c r="B1174" s="1" t="s">
        <v>2354</v>
      </c>
      <c r="C1174" s="1" t="s">
        <v>2422</v>
      </c>
    </row>
    <row r="1175" spans="1:3" x14ac:dyDescent="0.1">
      <c r="A1175" s="1" t="s">
        <v>2423</v>
      </c>
      <c r="B1175" s="1" t="s">
        <v>2354</v>
      </c>
      <c r="C1175" s="1" t="s">
        <v>2424</v>
      </c>
    </row>
    <row r="1176" spans="1:3" x14ac:dyDescent="0.1">
      <c r="A1176" s="1" t="s">
        <v>2425</v>
      </c>
      <c r="B1176" s="1" t="s">
        <v>2354</v>
      </c>
      <c r="C1176" s="1" t="s">
        <v>2426</v>
      </c>
    </row>
    <row r="1177" spans="1:3" x14ac:dyDescent="0.1">
      <c r="A1177" s="1" t="s">
        <v>2427</v>
      </c>
      <c r="B1177" s="1" t="s">
        <v>2354</v>
      </c>
      <c r="C1177" s="1" t="s">
        <v>2428</v>
      </c>
    </row>
    <row r="1178" spans="1:3" x14ac:dyDescent="0.1">
      <c r="A1178" s="1" t="s">
        <v>2429</v>
      </c>
      <c r="B1178" s="1" t="s">
        <v>2354</v>
      </c>
      <c r="C1178" s="1" t="s">
        <v>2430</v>
      </c>
    </row>
    <row r="1179" spans="1:3" x14ac:dyDescent="0.1">
      <c r="A1179" s="1" t="s">
        <v>2431</v>
      </c>
      <c r="B1179" s="1" t="s">
        <v>2354</v>
      </c>
      <c r="C1179" s="1" t="s">
        <v>2432</v>
      </c>
    </row>
    <row r="1180" spans="1:3" x14ac:dyDescent="0.1">
      <c r="A1180" s="1" t="s">
        <v>2433</v>
      </c>
      <c r="B1180" s="1" t="s">
        <v>2354</v>
      </c>
      <c r="C1180" s="1" t="s">
        <v>2434</v>
      </c>
    </row>
    <row r="1181" spans="1:3" x14ac:dyDescent="0.1">
      <c r="A1181" s="1" t="s">
        <v>2435</v>
      </c>
      <c r="B1181" s="1" t="s">
        <v>2354</v>
      </c>
      <c r="C1181" s="1" t="s">
        <v>2436</v>
      </c>
    </row>
    <row r="1182" spans="1:3" x14ac:dyDescent="0.1">
      <c r="A1182" s="1" t="s">
        <v>2437</v>
      </c>
      <c r="B1182" s="1" t="s">
        <v>2354</v>
      </c>
      <c r="C1182" s="1" t="s">
        <v>2438</v>
      </c>
    </row>
    <row r="1183" spans="1:3" x14ac:dyDescent="0.1">
      <c r="A1183" s="1" t="s">
        <v>2439</v>
      </c>
      <c r="B1183" s="1" t="s">
        <v>2354</v>
      </c>
      <c r="C1183" s="1" t="s">
        <v>2440</v>
      </c>
    </row>
    <row r="1184" spans="1:3" x14ac:dyDescent="0.1">
      <c r="A1184" s="5" t="s">
        <v>2441</v>
      </c>
      <c r="B1184" s="5" t="s">
        <v>2442</v>
      </c>
      <c r="C1184" s="2"/>
    </row>
    <row r="1185" spans="1:3" x14ac:dyDescent="0.1">
      <c r="A1185" s="1" t="s">
        <v>2443</v>
      </c>
      <c r="B1185" s="1" t="s">
        <v>2442</v>
      </c>
      <c r="C1185" s="1" t="s">
        <v>2444</v>
      </c>
    </row>
    <row r="1186" spans="1:3" x14ac:dyDescent="0.1">
      <c r="A1186" s="1" t="s">
        <v>2445</v>
      </c>
      <c r="B1186" s="1" t="s">
        <v>2442</v>
      </c>
      <c r="C1186" s="1" t="s">
        <v>2446</v>
      </c>
    </row>
    <row r="1187" spans="1:3" x14ac:dyDescent="0.1">
      <c r="A1187" s="1" t="s">
        <v>2447</v>
      </c>
      <c r="B1187" s="1" t="s">
        <v>2442</v>
      </c>
      <c r="C1187" s="1" t="s">
        <v>2448</v>
      </c>
    </row>
    <row r="1188" spans="1:3" x14ac:dyDescent="0.1">
      <c r="A1188" s="1" t="s">
        <v>2449</v>
      </c>
      <c r="B1188" s="1" t="s">
        <v>2442</v>
      </c>
      <c r="C1188" s="1" t="s">
        <v>2450</v>
      </c>
    </row>
    <row r="1189" spans="1:3" x14ac:dyDescent="0.1">
      <c r="A1189" s="1" t="s">
        <v>2451</v>
      </c>
      <c r="B1189" s="1" t="s">
        <v>2442</v>
      </c>
      <c r="C1189" s="1" t="s">
        <v>2452</v>
      </c>
    </row>
    <row r="1190" spans="1:3" x14ac:dyDescent="0.1">
      <c r="A1190" s="1" t="s">
        <v>2453</v>
      </c>
      <c r="B1190" s="1" t="s">
        <v>2442</v>
      </c>
      <c r="C1190" s="1" t="s">
        <v>2454</v>
      </c>
    </row>
    <row r="1191" spans="1:3" x14ac:dyDescent="0.1">
      <c r="A1191" s="1" t="s">
        <v>2455</v>
      </c>
      <c r="B1191" s="1" t="s">
        <v>2442</v>
      </c>
      <c r="C1191" s="1" t="s">
        <v>2456</v>
      </c>
    </row>
    <row r="1192" spans="1:3" x14ac:dyDescent="0.1">
      <c r="A1192" s="1" t="s">
        <v>2457</v>
      </c>
      <c r="B1192" s="1" t="s">
        <v>2442</v>
      </c>
      <c r="C1192" s="1" t="s">
        <v>2458</v>
      </c>
    </row>
    <row r="1193" spans="1:3" x14ac:dyDescent="0.1">
      <c r="A1193" s="1" t="s">
        <v>2459</v>
      </c>
      <c r="B1193" s="1" t="s">
        <v>2442</v>
      </c>
      <c r="C1193" s="1" t="s">
        <v>2460</v>
      </c>
    </row>
    <row r="1194" spans="1:3" x14ac:dyDescent="0.1">
      <c r="A1194" s="1" t="s">
        <v>2461</v>
      </c>
      <c r="B1194" s="1" t="s">
        <v>2442</v>
      </c>
      <c r="C1194" s="1" t="s">
        <v>2462</v>
      </c>
    </row>
    <row r="1195" spans="1:3" x14ac:dyDescent="0.1">
      <c r="A1195" s="1" t="s">
        <v>2463</v>
      </c>
      <c r="B1195" s="1" t="s">
        <v>2442</v>
      </c>
      <c r="C1195" s="1" t="s">
        <v>2464</v>
      </c>
    </row>
    <row r="1196" spans="1:3" x14ac:dyDescent="0.1">
      <c r="A1196" s="1" t="s">
        <v>2465</v>
      </c>
      <c r="B1196" s="1" t="s">
        <v>2442</v>
      </c>
      <c r="C1196" s="1" t="s">
        <v>2466</v>
      </c>
    </row>
    <row r="1197" spans="1:3" x14ac:dyDescent="0.1">
      <c r="A1197" s="1" t="s">
        <v>2467</v>
      </c>
      <c r="B1197" s="1" t="s">
        <v>2442</v>
      </c>
      <c r="C1197" s="1" t="s">
        <v>2468</v>
      </c>
    </row>
    <row r="1198" spans="1:3" x14ac:dyDescent="0.1">
      <c r="A1198" s="1" t="s">
        <v>2469</v>
      </c>
      <c r="B1198" s="1" t="s">
        <v>2442</v>
      </c>
      <c r="C1198" s="1" t="s">
        <v>2470</v>
      </c>
    </row>
    <row r="1199" spans="1:3" x14ac:dyDescent="0.1">
      <c r="A1199" s="1" t="s">
        <v>2471</v>
      </c>
      <c r="B1199" s="1" t="s">
        <v>2442</v>
      </c>
      <c r="C1199" s="1" t="s">
        <v>2472</v>
      </c>
    </row>
    <row r="1200" spans="1:3" x14ac:dyDescent="0.1">
      <c r="A1200" s="1" t="s">
        <v>2473</v>
      </c>
      <c r="B1200" s="1" t="s">
        <v>2442</v>
      </c>
      <c r="C1200" s="1" t="s">
        <v>2474</v>
      </c>
    </row>
    <row r="1201" spans="1:3" x14ac:dyDescent="0.1">
      <c r="A1201" s="1" t="s">
        <v>2475</v>
      </c>
      <c r="B1201" s="1" t="s">
        <v>2442</v>
      </c>
      <c r="C1201" s="1" t="s">
        <v>2476</v>
      </c>
    </row>
    <row r="1202" spans="1:3" x14ac:dyDescent="0.1">
      <c r="A1202" s="1" t="s">
        <v>2477</v>
      </c>
      <c r="B1202" s="1" t="s">
        <v>2442</v>
      </c>
      <c r="C1202" s="1" t="s">
        <v>2478</v>
      </c>
    </row>
    <row r="1203" spans="1:3" x14ac:dyDescent="0.1">
      <c r="A1203" s="1" t="s">
        <v>2479</v>
      </c>
      <c r="B1203" s="1" t="s">
        <v>2442</v>
      </c>
      <c r="C1203" s="1" t="s">
        <v>2480</v>
      </c>
    </row>
    <row r="1204" spans="1:3" x14ac:dyDescent="0.1">
      <c r="A1204" s="1" t="s">
        <v>2481</v>
      </c>
      <c r="B1204" s="1" t="s">
        <v>2442</v>
      </c>
      <c r="C1204" s="1" t="s">
        <v>2482</v>
      </c>
    </row>
    <row r="1205" spans="1:3" x14ac:dyDescent="0.1">
      <c r="A1205" s="1" t="s">
        <v>2483</v>
      </c>
      <c r="B1205" s="1" t="s">
        <v>2442</v>
      </c>
      <c r="C1205" s="1" t="s">
        <v>3640</v>
      </c>
    </row>
    <row r="1206" spans="1:3" x14ac:dyDescent="0.1">
      <c r="A1206" s="1" t="s">
        <v>2484</v>
      </c>
      <c r="B1206" s="1" t="s">
        <v>2442</v>
      </c>
      <c r="C1206" s="1" t="s">
        <v>2485</v>
      </c>
    </row>
    <row r="1207" spans="1:3" x14ac:dyDescent="0.1">
      <c r="A1207" s="1" t="s">
        <v>2486</v>
      </c>
      <c r="B1207" s="1" t="s">
        <v>2442</v>
      </c>
      <c r="C1207" s="1" t="s">
        <v>2487</v>
      </c>
    </row>
    <row r="1208" spans="1:3" x14ac:dyDescent="0.1">
      <c r="A1208" s="1" t="s">
        <v>2488</v>
      </c>
      <c r="B1208" s="1" t="s">
        <v>2442</v>
      </c>
      <c r="C1208" s="1" t="s">
        <v>2489</v>
      </c>
    </row>
    <row r="1209" spans="1:3" x14ac:dyDescent="0.1">
      <c r="A1209" s="1" t="s">
        <v>2490</v>
      </c>
      <c r="B1209" s="1" t="s">
        <v>2442</v>
      </c>
      <c r="C1209" s="1" t="s">
        <v>2491</v>
      </c>
    </row>
    <row r="1210" spans="1:3" x14ac:dyDescent="0.1">
      <c r="A1210" s="1" t="s">
        <v>2492</v>
      </c>
      <c r="B1210" s="1" t="s">
        <v>2442</v>
      </c>
      <c r="C1210" s="1" t="s">
        <v>2493</v>
      </c>
    </row>
    <row r="1211" spans="1:3" x14ac:dyDescent="0.1">
      <c r="A1211" s="1" t="s">
        <v>2494</v>
      </c>
      <c r="B1211" s="1" t="s">
        <v>2442</v>
      </c>
      <c r="C1211" s="1" t="s">
        <v>2495</v>
      </c>
    </row>
    <row r="1212" spans="1:3" x14ac:dyDescent="0.1">
      <c r="A1212" s="1" t="s">
        <v>2496</v>
      </c>
      <c r="B1212" s="1" t="s">
        <v>2442</v>
      </c>
      <c r="C1212" s="1" t="s">
        <v>2497</v>
      </c>
    </row>
    <row r="1213" spans="1:3" x14ac:dyDescent="0.1">
      <c r="A1213" s="1" t="s">
        <v>2498</v>
      </c>
      <c r="B1213" s="1" t="s">
        <v>2442</v>
      </c>
      <c r="C1213" s="1" t="s">
        <v>2499</v>
      </c>
    </row>
    <row r="1214" spans="1:3" x14ac:dyDescent="0.1">
      <c r="A1214" s="1" t="s">
        <v>2500</v>
      </c>
      <c r="B1214" s="1" t="s">
        <v>2442</v>
      </c>
      <c r="C1214" s="1" t="s">
        <v>2501</v>
      </c>
    </row>
    <row r="1215" spans="1:3" x14ac:dyDescent="0.1">
      <c r="A1215" s="1" t="s">
        <v>2502</v>
      </c>
      <c r="B1215" s="1" t="s">
        <v>2442</v>
      </c>
      <c r="C1215" s="1" t="s">
        <v>2503</v>
      </c>
    </row>
    <row r="1216" spans="1:3" x14ac:dyDescent="0.1">
      <c r="A1216" s="1" t="s">
        <v>2504</v>
      </c>
      <c r="B1216" s="1" t="s">
        <v>2442</v>
      </c>
      <c r="C1216" s="1" t="s">
        <v>2505</v>
      </c>
    </row>
    <row r="1217" spans="1:3" x14ac:dyDescent="0.1">
      <c r="A1217" s="1" t="s">
        <v>2506</v>
      </c>
      <c r="B1217" s="1" t="s">
        <v>2442</v>
      </c>
      <c r="C1217" s="1" t="s">
        <v>2507</v>
      </c>
    </row>
    <row r="1218" spans="1:3" x14ac:dyDescent="0.1">
      <c r="A1218" s="1" t="s">
        <v>2508</v>
      </c>
      <c r="B1218" s="1" t="s">
        <v>2442</v>
      </c>
      <c r="C1218" s="1" t="s">
        <v>2509</v>
      </c>
    </row>
    <row r="1219" spans="1:3" x14ac:dyDescent="0.1">
      <c r="A1219" s="1" t="s">
        <v>2510</v>
      </c>
      <c r="B1219" s="1" t="s">
        <v>2442</v>
      </c>
      <c r="C1219" s="1" t="s">
        <v>2511</v>
      </c>
    </row>
    <row r="1220" spans="1:3" x14ac:dyDescent="0.1">
      <c r="A1220" s="1" t="s">
        <v>2512</v>
      </c>
      <c r="B1220" s="1" t="s">
        <v>2442</v>
      </c>
      <c r="C1220" s="1" t="s">
        <v>2513</v>
      </c>
    </row>
    <row r="1221" spans="1:3" x14ac:dyDescent="0.1">
      <c r="A1221" s="1" t="s">
        <v>2514</v>
      </c>
      <c r="B1221" s="1" t="s">
        <v>2442</v>
      </c>
      <c r="C1221" s="1" t="s">
        <v>2436</v>
      </c>
    </row>
    <row r="1222" spans="1:3" x14ac:dyDescent="0.1">
      <c r="A1222" s="1" t="s">
        <v>2515</v>
      </c>
      <c r="B1222" s="1" t="s">
        <v>2442</v>
      </c>
      <c r="C1222" s="1" t="s">
        <v>2516</v>
      </c>
    </row>
    <row r="1223" spans="1:3" x14ac:dyDescent="0.1">
      <c r="A1223" s="1" t="s">
        <v>2517</v>
      </c>
      <c r="B1223" s="1" t="s">
        <v>2442</v>
      </c>
      <c r="C1223" s="1" t="s">
        <v>2518</v>
      </c>
    </row>
    <row r="1224" spans="1:3" x14ac:dyDescent="0.1">
      <c r="A1224" s="1" t="s">
        <v>2519</v>
      </c>
      <c r="B1224" s="1" t="s">
        <v>2442</v>
      </c>
      <c r="C1224" s="1" t="s">
        <v>2520</v>
      </c>
    </row>
    <row r="1225" spans="1:3" x14ac:dyDescent="0.1">
      <c r="A1225" s="1" t="s">
        <v>2521</v>
      </c>
      <c r="B1225" s="1" t="s">
        <v>2442</v>
      </c>
      <c r="C1225" s="1" t="s">
        <v>2522</v>
      </c>
    </row>
    <row r="1226" spans="1:3" x14ac:dyDescent="0.1">
      <c r="A1226" s="5" t="s">
        <v>2523</v>
      </c>
      <c r="B1226" s="5" t="s">
        <v>2524</v>
      </c>
      <c r="C1226" s="2"/>
    </row>
    <row r="1227" spans="1:3" x14ac:dyDescent="0.1">
      <c r="A1227" s="1" t="s">
        <v>2525</v>
      </c>
      <c r="B1227" s="1" t="s">
        <v>2524</v>
      </c>
      <c r="C1227" s="1" t="s">
        <v>2526</v>
      </c>
    </row>
    <row r="1228" spans="1:3" x14ac:dyDescent="0.1">
      <c r="A1228" s="1" t="s">
        <v>2527</v>
      </c>
      <c r="B1228" s="1" t="s">
        <v>2524</v>
      </c>
      <c r="C1228" s="1" t="s">
        <v>2528</v>
      </c>
    </row>
    <row r="1229" spans="1:3" x14ac:dyDescent="0.1">
      <c r="A1229" s="1" t="s">
        <v>2529</v>
      </c>
      <c r="B1229" s="1" t="s">
        <v>2524</v>
      </c>
      <c r="C1229" s="1" t="s">
        <v>2530</v>
      </c>
    </row>
    <row r="1230" spans="1:3" x14ac:dyDescent="0.1">
      <c r="A1230" s="1" t="s">
        <v>2531</v>
      </c>
      <c r="B1230" s="1" t="s">
        <v>2524</v>
      </c>
      <c r="C1230" s="1" t="s">
        <v>2532</v>
      </c>
    </row>
    <row r="1231" spans="1:3" x14ac:dyDescent="0.1">
      <c r="A1231" s="1" t="s">
        <v>2533</v>
      </c>
      <c r="B1231" s="1" t="s">
        <v>2524</v>
      </c>
      <c r="C1231" s="1" t="s">
        <v>2534</v>
      </c>
    </row>
    <row r="1232" spans="1:3" x14ac:dyDescent="0.1">
      <c r="A1232" s="1" t="s">
        <v>2535</v>
      </c>
      <c r="B1232" s="1" t="s">
        <v>2524</v>
      </c>
      <c r="C1232" s="1" t="s">
        <v>2536</v>
      </c>
    </row>
    <row r="1233" spans="1:3" x14ac:dyDescent="0.1">
      <c r="A1233" s="1" t="s">
        <v>2537</v>
      </c>
      <c r="B1233" s="1" t="s">
        <v>2524</v>
      </c>
      <c r="C1233" s="1" t="s">
        <v>2538</v>
      </c>
    </row>
    <row r="1234" spans="1:3" x14ac:dyDescent="0.1">
      <c r="A1234" s="1" t="s">
        <v>2539</v>
      </c>
      <c r="B1234" s="1" t="s">
        <v>2524</v>
      </c>
      <c r="C1234" s="1" t="s">
        <v>2540</v>
      </c>
    </row>
    <row r="1235" spans="1:3" x14ac:dyDescent="0.1">
      <c r="A1235" s="1" t="s">
        <v>2541</v>
      </c>
      <c r="B1235" s="1" t="s">
        <v>2524</v>
      </c>
      <c r="C1235" s="1" t="s">
        <v>2542</v>
      </c>
    </row>
    <row r="1236" spans="1:3" x14ac:dyDescent="0.1">
      <c r="A1236" s="1" t="s">
        <v>2543</v>
      </c>
      <c r="B1236" s="1" t="s">
        <v>2524</v>
      </c>
      <c r="C1236" s="1" t="s">
        <v>2544</v>
      </c>
    </row>
    <row r="1237" spans="1:3" x14ac:dyDescent="0.1">
      <c r="A1237" s="1" t="s">
        <v>2545</v>
      </c>
      <c r="B1237" s="1" t="s">
        <v>2524</v>
      </c>
      <c r="C1237" s="1" t="s">
        <v>2546</v>
      </c>
    </row>
    <row r="1238" spans="1:3" x14ac:dyDescent="0.1">
      <c r="A1238" s="1" t="s">
        <v>2547</v>
      </c>
      <c r="B1238" s="1" t="s">
        <v>2524</v>
      </c>
      <c r="C1238" s="1" t="s">
        <v>2548</v>
      </c>
    </row>
    <row r="1239" spans="1:3" x14ac:dyDescent="0.1">
      <c r="A1239" s="1" t="s">
        <v>2549</v>
      </c>
      <c r="B1239" s="1" t="s">
        <v>2524</v>
      </c>
      <c r="C1239" s="1" t="s">
        <v>2550</v>
      </c>
    </row>
    <row r="1240" spans="1:3" x14ac:dyDescent="0.1">
      <c r="A1240" s="1" t="s">
        <v>2551</v>
      </c>
      <c r="B1240" s="1" t="s">
        <v>2524</v>
      </c>
      <c r="C1240" s="1" t="s">
        <v>2552</v>
      </c>
    </row>
    <row r="1241" spans="1:3" x14ac:dyDescent="0.1">
      <c r="A1241" s="1" t="s">
        <v>2553</v>
      </c>
      <c r="B1241" s="1" t="s">
        <v>2524</v>
      </c>
      <c r="C1241" s="1" t="s">
        <v>2554</v>
      </c>
    </row>
    <row r="1242" spans="1:3" x14ac:dyDescent="0.1">
      <c r="A1242" s="1" t="s">
        <v>2555</v>
      </c>
      <c r="B1242" s="1" t="s">
        <v>2524</v>
      </c>
      <c r="C1242" s="1" t="s">
        <v>2556</v>
      </c>
    </row>
    <row r="1243" spans="1:3" x14ac:dyDescent="0.1">
      <c r="A1243" s="1" t="s">
        <v>2557</v>
      </c>
      <c r="B1243" s="1" t="s">
        <v>2524</v>
      </c>
      <c r="C1243" s="1" t="s">
        <v>2558</v>
      </c>
    </row>
    <row r="1244" spans="1:3" x14ac:dyDescent="0.1">
      <c r="A1244" s="1" t="s">
        <v>2559</v>
      </c>
      <c r="B1244" s="1" t="s">
        <v>2524</v>
      </c>
      <c r="C1244" s="1" t="s">
        <v>790</v>
      </c>
    </row>
    <row r="1245" spans="1:3" x14ac:dyDescent="0.1">
      <c r="A1245" s="1" t="s">
        <v>2560</v>
      </c>
      <c r="B1245" s="1" t="s">
        <v>2524</v>
      </c>
      <c r="C1245" s="1" t="s">
        <v>2561</v>
      </c>
    </row>
    <row r="1246" spans="1:3" x14ac:dyDescent="0.1">
      <c r="A1246" s="1" t="s">
        <v>2562</v>
      </c>
      <c r="B1246" s="1" t="s">
        <v>2524</v>
      </c>
      <c r="C1246" s="1" t="s">
        <v>2563</v>
      </c>
    </row>
    <row r="1247" spans="1:3" x14ac:dyDescent="0.1">
      <c r="A1247" s="1" t="s">
        <v>2564</v>
      </c>
      <c r="B1247" s="1" t="s">
        <v>2524</v>
      </c>
      <c r="C1247" s="1" t="s">
        <v>2565</v>
      </c>
    </row>
    <row r="1248" spans="1:3" x14ac:dyDescent="0.1">
      <c r="A1248" s="1" t="s">
        <v>2566</v>
      </c>
      <c r="B1248" s="1" t="s">
        <v>2524</v>
      </c>
      <c r="C1248" s="1" t="s">
        <v>2567</v>
      </c>
    </row>
    <row r="1249" spans="1:3" x14ac:dyDescent="0.1">
      <c r="A1249" s="1" t="s">
        <v>2568</v>
      </c>
      <c r="B1249" s="1" t="s">
        <v>2524</v>
      </c>
      <c r="C1249" s="1" t="s">
        <v>2569</v>
      </c>
    </row>
    <row r="1250" spans="1:3" x14ac:dyDescent="0.1">
      <c r="A1250" s="1" t="s">
        <v>2570</v>
      </c>
      <c r="B1250" s="1" t="s">
        <v>2524</v>
      </c>
      <c r="C1250" s="1" t="s">
        <v>2571</v>
      </c>
    </row>
    <row r="1251" spans="1:3" x14ac:dyDescent="0.1">
      <c r="A1251" s="1" t="s">
        <v>2572</v>
      </c>
      <c r="B1251" s="1" t="s">
        <v>2524</v>
      </c>
      <c r="C1251" s="1" t="s">
        <v>2573</v>
      </c>
    </row>
    <row r="1252" spans="1:3" x14ac:dyDescent="0.1">
      <c r="A1252" s="1" t="s">
        <v>2574</v>
      </c>
      <c r="B1252" s="1" t="s">
        <v>2524</v>
      </c>
      <c r="C1252" s="1" t="s">
        <v>2575</v>
      </c>
    </row>
    <row r="1253" spans="1:3" x14ac:dyDescent="0.1">
      <c r="A1253" s="1" t="s">
        <v>2576</v>
      </c>
      <c r="B1253" s="1" t="s">
        <v>2524</v>
      </c>
      <c r="C1253" s="1" t="s">
        <v>2577</v>
      </c>
    </row>
    <row r="1254" spans="1:3" x14ac:dyDescent="0.1">
      <c r="A1254" s="1" t="s">
        <v>2578</v>
      </c>
      <c r="B1254" s="1" t="s">
        <v>2524</v>
      </c>
      <c r="C1254" s="1" t="s">
        <v>2579</v>
      </c>
    </row>
    <row r="1255" spans="1:3" x14ac:dyDescent="0.1">
      <c r="A1255" s="1" t="s">
        <v>2580</v>
      </c>
      <c r="B1255" s="1" t="s">
        <v>2524</v>
      </c>
      <c r="C1255" s="1" t="s">
        <v>2581</v>
      </c>
    </row>
    <row r="1256" spans="1:3" x14ac:dyDescent="0.1">
      <c r="A1256" s="1" t="s">
        <v>2582</v>
      </c>
      <c r="B1256" s="1" t="s">
        <v>2524</v>
      </c>
      <c r="C1256" s="1" t="s">
        <v>2583</v>
      </c>
    </row>
    <row r="1257" spans="1:3" x14ac:dyDescent="0.1">
      <c r="A1257" s="1" t="s">
        <v>2584</v>
      </c>
      <c r="B1257" s="1" t="s">
        <v>2524</v>
      </c>
      <c r="C1257" s="1" t="s">
        <v>2585</v>
      </c>
    </row>
    <row r="1258" spans="1:3" x14ac:dyDescent="0.1">
      <c r="A1258" s="1" t="s">
        <v>2586</v>
      </c>
      <c r="B1258" s="1" t="s">
        <v>2524</v>
      </c>
      <c r="C1258" s="1" t="s">
        <v>2587</v>
      </c>
    </row>
    <row r="1259" spans="1:3" x14ac:dyDescent="0.1">
      <c r="A1259" s="1" t="s">
        <v>2588</v>
      </c>
      <c r="B1259" s="1" t="s">
        <v>2524</v>
      </c>
      <c r="C1259" s="1" t="s">
        <v>2589</v>
      </c>
    </row>
    <row r="1260" spans="1:3" x14ac:dyDescent="0.1">
      <c r="A1260" s="1" t="s">
        <v>2590</v>
      </c>
      <c r="B1260" s="1" t="s">
        <v>2524</v>
      </c>
      <c r="C1260" s="1" t="s">
        <v>2591</v>
      </c>
    </row>
    <row r="1261" spans="1:3" x14ac:dyDescent="0.1">
      <c r="A1261" s="1" t="s">
        <v>2592</v>
      </c>
      <c r="B1261" s="1" t="s">
        <v>2524</v>
      </c>
      <c r="C1261" s="1" t="s">
        <v>2593</v>
      </c>
    </row>
    <row r="1262" spans="1:3" x14ac:dyDescent="0.1">
      <c r="A1262" s="1" t="s">
        <v>2594</v>
      </c>
      <c r="B1262" s="1" t="s">
        <v>2524</v>
      </c>
      <c r="C1262" s="1" t="s">
        <v>2595</v>
      </c>
    </row>
    <row r="1263" spans="1:3" x14ac:dyDescent="0.1">
      <c r="A1263" s="1" t="s">
        <v>2596</v>
      </c>
      <c r="B1263" s="1" t="s">
        <v>2524</v>
      </c>
      <c r="C1263" s="1" t="s">
        <v>2597</v>
      </c>
    </row>
    <row r="1264" spans="1:3" x14ac:dyDescent="0.1">
      <c r="A1264" s="1" t="s">
        <v>2598</v>
      </c>
      <c r="B1264" s="1" t="s">
        <v>2524</v>
      </c>
      <c r="C1264" s="1" t="s">
        <v>1828</v>
      </c>
    </row>
    <row r="1265" spans="1:3" x14ac:dyDescent="0.1">
      <c r="A1265" s="1" t="s">
        <v>2599</v>
      </c>
      <c r="B1265" s="1" t="s">
        <v>2524</v>
      </c>
      <c r="C1265" s="1" t="s">
        <v>2600</v>
      </c>
    </row>
    <row r="1266" spans="1:3" x14ac:dyDescent="0.1">
      <c r="A1266" s="5" t="s">
        <v>2601</v>
      </c>
      <c r="B1266" s="5" t="s">
        <v>2602</v>
      </c>
      <c r="C1266" s="2"/>
    </row>
    <row r="1267" spans="1:3" x14ac:dyDescent="0.1">
      <c r="A1267" s="1" t="s">
        <v>2603</v>
      </c>
      <c r="B1267" s="1" t="s">
        <v>2602</v>
      </c>
      <c r="C1267" s="1" t="s">
        <v>2604</v>
      </c>
    </row>
    <row r="1268" spans="1:3" x14ac:dyDescent="0.1">
      <c r="A1268" s="1" t="s">
        <v>2605</v>
      </c>
      <c r="B1268" s="1" t="s">
        <v>2602</v>
      </c>
      <c r="C1268" s="1" t="s">
        <v>2606</v>
      </c>
    </row>
    <row r="1269" spans="1:3" x14ac:dyDescent="0.1">
      <c r="A1269" s="1" t="s">
        <v>2607</v>
      </c>
      <c r="B1269" s="1" t="s">
        <v>2602</v>
      </c>
      <c r="C1269" s="1" t="s">
        <v>2608</v>
      </c>
    </row>
    <row r="1270" spans="1:3" x14ac:dyDescent="0.1">
      <c r="A1270" s="1" t="s">
        <v>2609</v>
      </c>
      <c r="B1270" s="1" t="s">
        <v>2602</v>
      </c>
      <c r="C1270" s="1" t="s">
        <v>2610</v>
      </c>
    </row>
    <row r="1271" spans="1:3" x14ac:dyDescent="0.1">
      <c r="A1271" s="1" t="s">
        <v>2611</v>
      </c>
      <c r="B1271" s="1" t="s">
        <v>2602</v>
      </c>
      <c r="C1271" s="1" t="s">
        <v>2612</v>
      </c>
    </row>
    <row r="1272" spans="1:3" x14ac:dyDescent="0.1">
      <c r="A1272" s="1" t="s">
        <v>2613</v>
      </c>
      <c r="B1272" s="1" t="s">
        <v>2602</v>
      </c>
      <c r="C1272" s="1" t="s">
        <v>2614</v>
      </c>
    </row>
    <row r="1273" spans="1:3" x14ac:dyDescent="0.1">
      <c r="A1273" s="1" t="s">
        <v>2615</v>
      </c>
      <c r="B1273" s="1" t="s">
        <v>2602</v>
      </c>
      <c r="C1273" s="1" t="s">
        <v>2616</v>
      </c>
    </row>
    <row r="1274" spans="1:3" x14ac:dyDescent="0.1">
      <c r="A1274" s="1" t="s">
        <v>2617</v>
      </c>
      <c r="B1274" s="1" t="s">
        <v>2602</v>
      </c>
      <c r="C1274" s="1" t="s">
        <v>2618</v>
      </c>
    </row>
    <row r="1275" spans="1:3" x14ac:dyDescent="0.1">
      <c r="A1275" s="1" t="s">
        <v>2619</v>
      </c>
      <c r="B1275" s="1" t="s">
        <v>2602</v>
      </c>
      <c r="C1275" s="1" t="s">
        <v>2620</v>
      </c>
    </row>
    <row r="1276" spans="1:3" x14ac:dyDescent="0.1">
      <c r="A1276" s="1" t="s">
        <v>2621</v>
      </c>
      <c r="B1276" s="1" t="s">
        <v>2602</v>
      </c>
      <c r="C1276" s="1" t="s">
        <v>2622</v>
      </c>
    </row>
    <row r="1277" spans="1:3" x14ac:dyDescent="0.1">
      <c r="A1277" s="1" t="s">
        <v>2623</v>
      </c>
      <c r="B1277" s="1" t="s">
        <v>2602</v>
      </c>
      <c r="C1277" s="1" t="s">
        <v>2624</v>
      </c>
    </row>
    <row r="1278" spans="1:3" x14ac:dyDescent="0.1">
      <c r="A1278" s="1" t="s">
        <v>2625</v>
      </c>
      <c r="B1278" s="1" t="s">
        <v>2602</v>
      </c>
      <c r="C1278" s="1" t="s">
        <v>2626</v>
      </c>
    </row>
    <row r="1279" spans="1:3" x14ac:dyDescent="0.1">
      <c r="A1279" s="1" t="s">
        <v>2627</v>
      </c>
      <c r="B1279" s="1" t="s">
        <v>2602</v>
      </c>
      <c r="C1279" s="1" t="s">
        <v>2628</v>
      </c>
    </row>
    <row r="1280" spans="1:3" x14ac:dyDescent="0.1">
      <c r="A1280" s="1" t="s">
        <v>2629</v>
      </c>
      <c r="B1280" s="1" t="s">
        <v>2602</v>
      </c>
      <c r="C1280" s="1" t="s">
        <v>2630</v>
      </c>
    </row>
    <row r="1281" spans="1:3" x14ac:dyDescent="0.1">
      <c r="A1281" s="1" t="s">
        <v>2631</v>
      </c>
      <c r="B1281" s="1" t="s">
        <v>2602</v>
      </c>
      <c r="C1281" s="1" t="s">
        <v>2632</v>
      </c>
    </row>
    <row r="1282" spans="1:3" x14ac:dyDescent="0.1">
      <c r="A1282" s="1" t="s">
        <v>2633</v>
      </c>
      <c r="B1282" s="1" t="s">
        <v>2602</v>
      </c>
      <c r="C1282" s="1" t="s">
        <v>2634</v>
      </c>
    </row>
    <row r="1283" spans="1:3" x14ac:dyDescent="0.1">
      <c r="A1283" s="1" t="s">
        <v>2635</v>
      </c>
      <c r="B1283" s="1" t="s">
        <v>2602</v>
      </c>
      <c r="C1283" s="1" t="s">
        <v>1723</v>
      </c>
    </row>
    <row r="1284" spans="1:3" x14ac:dyDescent="0.1">
      <c r="A1284" s="1" t="s">
        <v>2636</v>
      </c>
      <c r="B1284" s="1" t="s">
        <v>2602</v>
      </c>
      <c r="C1284" s="1" t="s">
        <v>388</v>
      </c>
    </row>
    <row r="1285" spans="1:3" x14ac:dyDescent="0.1">
      <c r="A1285" s="1" t="s">
        <v>2637</v>
      </c>
      <c r="B1285" s="1" t="s">
        <v>2602</v>
      </c>
      <c r="C1285" s="1" t="s">
        <v>2638</v>
      </c>
    </row>
    <row r="1286" spans="1:3" x14ac:dyDescent="0.1">
      <c r="A1286" s="1" t="s">
        <v>2639</v>
      </c>
      <c r="B1286" s="1" t="s">
        <v>2602</v>
      </c>
      <c r="C1286" s="1" t="s">
        <v>2640</v>
      </c>
    </row>
    <row r="1287" spans="1:3" x14ac:dyDescent="0.1">
      <c r="A1287" s="1" t="s">
        <v>2641</v>
      </c>
      <c r="B1287" s="1" t="s">
        <v>2602</v>
      </c>
      <c r="C1287" s="1" t="s">
        <v>2642</v>
      </c>
    </row>
    <row r="1288" spans="1:3" x14ac:dyDescent="0.1">
      <c r="A1288" s="1" t="s">
        <v>2643</v>
      </c>
      <c r="B1288" s="1" t="s">
        <v>2602</v>
      </c>
      <c r="C1288" s="1" t="s">
        <v>2644</v>
      </c>
    </row>
    <row r="1289" spans="1:3" x14ac:dyDescent="0.1">
      <c r="A1289" s="1" t="s">
        <v>2645</v>
      </c>
      <c r="B1289" s="1" t="s">
        <v>2602</v>
      </c>
      <c r="C1289" s="1" t="s">
        <v>2646</v>
      </c>
    </row>
    <row r="1290" spans="1:3" x14ac:dyDescent="0.1">
      <c r="A1290" s="1" t="s">
        <v>2647</v>
      </c>
      <c r="B1290" s="1" t="s">
        <v>2602</v>
      </c>
      <c r="C1290" s="1" t="s">
        <v>2648</v>
      </c>
    </row>
    <row r="1291" spans="1:3" x14ac:dyDescent="0.1">
      <c r="A1291" s="1" t="s">
        <v>2649</v>
      </c>
      <c r="B1291" s="1" t="s">
        <v>2602</v>
      </c>
      <c r="C1291" s="1" t="s">
        <v>2650</v>
      </c>
    </row>
    <row r="1292" spans="1:3" x14ac:dyDescent="0.1">
      <c r="A1292" s="1" t="s">
        <v>2651</v>
      </c>
      <c r="B1292" s="1" t="s">
        <v>2602</v>
      </c>
      <c r="C1292" s="1" t="s">
        <v>2652</v>
      </c>
    </row>
    <row r="1293" spans="1:3" x14ac:dyDescent="0.1">
      <c r="A1293" s="1" t="s">
        <v>2653</v>
      </c>
      <c r="B1293" s="1" t="s">
        <v>2602</v>
      </c>
      <c r="C1293" s="1" t="s">
        <v>2654</v>
      </c>
    </row>
    <row r="1294" spans="1:3" x14ac:dyDescent="0.1">
      <c r="A1294" s="1" t="s">
        <v>2655</v>
      </c>
      <c r="B1294" s="1" t="s">
        <v>2602</v>
      </c>
      <c r="C1294" s="1" t="s">
        <v>2656</v>
      </c>
    </row>
    <row r="1295" spans="1:3" x14ac:dyDescent="0.1">
      <c r="A1295" s="1" t="s">
        <v>2657</v>
      </c>
      <c r="B1295" s="1" t="s">
        <v>2602</v>
      </c>
      <c r="C1295" s="1" t="s">
        <v>2658</v>
      </c>
    </row>
    <row r="1296" spans="1:3" x14ac:dyDescent="0.1">
      <c r="A1296" s="1" t="s">
        <v>2659</v>
      </c>
      <c r="B1296" s="1" t="s">
        <v>2602</v>
      </c>
      <c r="C1296" s="1" t="s">
        <v>2660</v>
      </c>
    </row>
    <row r="1297" spans="1:3" x14ac:dyDescent="0.1">
      <c r="A1297" s="5" t="s">
        <v>2661</v>
      </c>
      <c r="B1297" s="5" t="s">
        <v>2662</v>
      </c>
      <c r="C1297" s="2"/>
    </row>
    <row r="1298" spans="1:3" x14ac:dyDescent="0.1">
      <c r="A1298" s="1" t="s">
        <v>2663</v>
      </c>
      <c r="B1298" s="1" t="s">
        <v>2662</v>
      </c>
      <c r="C1298" s="1" t="s">
        <v>2664</v>
      </c>
    </row>
    <row r="1299" spans="1:3" x14ac:dyDescent="0.1">
      <c r="A1299" s="1" t="s">
        <v>2665</v>
      </c>
      <c r="B1299" s="1" t="s">
        <v>2662</v>
      </c>
      <c r="C1299" s="1" t="s">
        <v>2666</v>
      </c>
    </row>
    <row r="1300" spans="1:3" x14ac:dyDescent="0.1">
      <c r="A1300" s="1" t="s">
        <v>2667</v>
      </c>
      <c r="B1300" s="1" t="s">
        <v>2662</v>
      </c>
      <c r="C1300" s="1" t="s">
        <v>2668</v>
      </c>
    </row>
    <row r="1301" spans="1:3" x14ac:dyDescent="0.1">
      <c r="A1301" s="1" t="s">
        <v>2669</v>
      </c>
      <c r="B1301" s="1" t="s">
        <v>2662</v>
      </c>
      <c r="C1301" s="1" t="s">
        <v>2670</v>
      </c>
    </row>
    <row r="1302" spans="1:3" x14ac:dyDescent="0.1">
      <c r="A1302" s="1" t="s">
        <v>2671</v>
      </c>
      <c r="B1302" s="1" t="s">
        <v>2662</v>
      </c>
      <c r="C1302" s="1" t="s">
        <v>2672</v>
      </c>
    </row>
    <row r="1303" spans="1:3" x14ac:dyDescent="0.1">
      <c r="A1303" s="1" t="s">
        <v>2673</v>
      </c>
      <c r="B1303" s="1" t="s">
        <v>2662</v>
      </c>
      <c r="C1303" s="1" t="s">
        <v>2674</v>
      </c>
    </row>
    <row r="1304" spans="1:3" x14ac:dyDescent="0.1">
      <c r="A1304" s="1" t="s">
        <v>2675</v>
      </c>
      <c r="B1304" s="1" t="s">
        <v>2662</v>
      </c>
      <c r="C1304" s="1" t="s">
        <v>2676</v>
      </c>
    </row>
    <row r="1305" spans="1:3" x14ac:dyDescent="0.1">
      <c r="A1305" s="1" t="s">
        <v>2677</v>
      </c>
      <c r="B1305" s="1" t="s">
        <v>2662</v>
      </c>
      <c r="C1305" s="1" t="s">
        <v>2678</v>
      </c>
    </row>
    <row r="1306" spans="1:3" x14ac:dyDescent="0.1">
      <c r="A1306" s="1" t="s">
        <v>2679</v>
      </c>
      <c r="B1306" s="1" t="s">
        <v>2662</v>
      </c>
      <c r="C1306" s="1" t="s">
        <v>2680</v>
      </c>
    </row>
    <row r="1307" spans="1:3" x14ac:dyDescent="0.1">
      <c r="A1307" s="1" t="s">
        <v>2681</v>
      </c>
      <c r="B1307" s="1" t="s">
        <v>2662</v>
      </c>
      <c r="C1307" s="1" t="s">
        <v>2682</v>
      </c>
    </row>
    <row r="1308" spans="1:3" x14ac:dyDescent="0.1">
      <c r="A1308" s="1" t="s">
        <v>2683</v>
      </c>
      <c r="B1308" s="1" t="s">
        <v>2662</v>
      </c>
      <c r="C1308" s="1" t="s">
        <v>2684</v>
      </c>
    </row>
    <row r="1309" spans="1:3" x14ac:dyDescent="0.1">
      <c r="A1309" s="1" t="s">
        <v>2685</v>
      </c>
      <c r="B1309" s="1" t="s">
        <v>2662</v>
      </c>
      <c r="C1309" s="1" t="s">
        <v>2686</v>
      </c>
    </row>
    <row r="1310" spans="1:3" x14ac:dyDescent="0.1">
      <c r="A1310" s="1" t="s">
        <v>2687</v>
      </c>
      <c r="B1310" s="1" t="s">
        <v>2662</v>
      </c>
      <c r="C1310" s="1" t="s">
        <v>2688</v>
      </c>
    </row>
    <row r="1311" spans="1:3" x14ac:dyDescent="0.1">
      <c r="A1311" s="1" t="s">
        <v>2689</v>
      </c>
      <c r="B1311" s="1" t="s">
        <v>2662</v>
      </c>
      <c r="C1311" s="1" t="s">
        <v>2690</v>
      </c>
    </row>
    <row r="1312" spans="1:3" x14ac:dyDescent="0.1">
      <c r="A1312" s="1" t="s">
        <v>2691</v>
      </c>
      <c r="B1312" s="1" t="s">
        <v>2662</v>
      </c>
      <c r="C1312" s="1" t="s">
        <v>536</v>
      </c>
    </row>
    <row r="1313" spans="1:3" x14ac:dyDescent="0.1">
      <c r="A1313" s="1" t="s">
        <v>2692</v>
      </c>
      <c r="B1313" s="1" t="s">
        <v>2662</v>
      </c>
      <c r="C1313" s="1" t="s">
        <v>2693</v>
      </c>
    </row>
    <row r="1314" spans="1:3" x14ac:dyDescent="0.1">
      <c r="A1314" s="1" t="s">
        <v>2694</v>
      </c>
      <c r="B1314" s="1" t="s">
        <v>2662</v>
      </c>
      <c r="C1314" s="1" t="s">
        <v>2695</v>
      </c>
    </row>
    <row r="1315" spans="1:3" x14ac:dyDescent="0.1">
      <c r="A1315" s="1" t="s">
        <v>2696</v>
      </c>
      <c r="B1315" s="1" t="s">
        <v>2662</v>
      </c>
      <c r="C1315" s="1" t="s">
        <v>2288</v>
      </c>
    </row>
    <row r="1316" spans="1:3" x14ac:dyDescent="0.1">
      <c r="A1316" s="1" t="s">
        <v>2697</v>
      </c>
      <c r="B1316" s="1" t="s">
        <v>2662</v>
      </c>
      <c r="C1316" s="1" t="s">
        <v>2698</v>
      </c>
    </row>
    <row r="1317" spans="1:3" x14ac:dyDescent="0.1">
      <c r="A1317" s="5" t="s">
        <v>2699</v>
      </c>
      <c r="B1317" s="5" t="s">
        <v>2700</v>
      </c>
      <c r="C1317" s="2"/>
    </row>
    <row r="1318" spans="1:3" x14ac:dyDescent="0.1">
      <c r="A1318" s="1" t="s">
        <v>2701</v>
      </c>
      <c r="B1318" s="1" t="s">
        <v>2700</v>
      </c>
      <c r="C1318" s="1" t="s">
        <v>3641</v>
      </c>
    </row>
    <row r="1319" spans="1:3" x14ac:dyDescent="0.1">
      <c r="A1319" s="1" t="s">
        <v>2702</v>
      </c>
      <c r="B1319" s="1" t="s">
        <v>2700</v>
      </c>
      <c r="C1319" s="1" t="s">
        <v>2703</v>
      </c>
    </row>
    <row r="1320" spans="1:3" x14ac:dyDescent="0.1">
      <c r="A1320" s="1" t="s">
        <v>2704</v>
      </c>
      <c r="B1320" s="1" t="s">
        <v>2700</v>
      </c>
      <c r="C1320" s="1" t="s">
        <v>2705</v>
      </c>
    </row>
    <row r="1321" spans="1:3" x14ac:dyDescent="0.1">
      <c r="A1321" s="1" t="s">
        <v>2706</v>
      </c>
      <c r="B1321" s="1" t="s">
        <v>2700</v>
      </c>
      <c r="C1321" s="1" t="s">
        <v>2707</v>
      </c>
    </row>
    <row r="1322" spans="1:3" x14ac:dyDescent="0.1">
      <c r="A1322" s="1" t="s">
        <v>2708</v>
      </c>
      <c r="B1322" s="1" t="s">
        <v>2700</v>
      </c>
      <c r="C1322" s="1" t="s">
        <v>2709</v>
      </c>
    </row>
    <row r="1323" spans="1:3" x14ac:dyDescent="0.1">
      <c r="A1323" s="1" t="s">
        <v>2710</v>
      </c>
      <c r="B1323" s="1" t="s">
        <v>2700</v>
      </c>
      <c r="C1323" s="1" t="s">
        <v>2711</v>
      </c>
    </row>
    <row r="1324" spans="1:3" x14ac:dyDescent="0.1">
      <c r="A1324" s="1" t="s">
        <v>2712</v>
      </c>
      <c r="B1324" s="1" t="s">
        <v>2700</v>
      </c>
      <c r="C1324" s="1" t="s">
        <v>2713</v>
      </c>
    </row>
    <row r="1325" spans="1:3" x14ac:dyDescent="0.1">
      <c r="A1325" s="1" t="s">
        <v>2714</v>
      </c>
      <c r="B1325" s="1" t="s">
        <v>2700</v>
      </c>
      <c r="C1325" s="1" t="s">
        <v>2715</v>
      </c>
    </row>
    <row r="1326" spans="1:3" x14ac:dyDescent="0.1">
      <c r="A1326" s="1" t="s">
        <v>2716</v>
      </c>
      <c r="B1326" s="1" t="s">
        <v>2700</v>
      </c>
      <c r="C1326" s="1" t="s">
        <v>2717</v>
      </c>
    </row>
    <row r="1327" spans="1:3" x14ac:dyDescent="0.1">
      <c r="A1327" s="1" t="s">
        <v>2718</v>
      </c>
      <c r="B1327" s="1" t="s">
        <v>2700</v>
      </c>
      <c r="C1327" s="1" t="s">
        <v>2719</v>
      </c>
    </row>
    <row r="1328" spans="1:3" x14ac:dyDescent="0.1">
      <c r="A1328" s="1" t="s">
        <v>2720</v>
      </c>
      <c r="B1328" s="1" t="s">
        <v>2700</v>
      </c>
      <c r="C1328" s="1" t="s">
        <v>2721</v>
      </c>
    </row>
    <row r="1329" spans="1:3" x14ac:dyDescent="0.1">
      <c r="A1329" s="1" t="s">
        <v>4152</v>
      </c>
      <c r="B1329" s="1" t="s">
        <v>2700</v>
      </c>
      <c r="C1329" s="1" t="s">
        <v>726</v>
      </c>
    </row>
    <row r="1330" spans="1:3" x14ac:dyDescent="0.1">
      <c r="A1330" s="1" t="s">
        <v>2722</v>
      </c>
      <c r="B1330" s="1" t="s">
        <v>2700</v>
      </c>
      <c r="C1330" s="1" t="s">
        <v>2723</v>
      </c>
    </row>
    <row r="1331" spans="1:3" x14ac:dyDescent="0.1">
      <c r="A1331" s="1" t="s">
        <v>2724</v>
      </c>
      <c r="B1331" s="1" t="s">
        <v>2700</v>
      </c>
      <c r="C1331" s="1" t="s">
        <v>2725</v>
      </c>
    </row>
    <row r="1332" spans="1:3" x14ac:dyDescent="0.1">
      <c r="A1332" s="1" t="s">
        <v>2726</v>
      </c>
      <c r="B1332" s="1" t="s">
        <v>2700</v>
      </c>
      <c r="C1332" s="1" t="s">
        <v>2727</v>
      </c>
    </row>
    <row r="1333" spans="1:3" x14ac:dyDescent="0.1">
      <c r="A1333" s="1" t="s">
        <v>2728</v>
      </c>
      <c r="B1333" s="1" t="s">
        <v>2700</v>
      </c>
      <c r="C1333" s="1" t="s">
        <v>2729</v>
      </c>
    </row>
    <row r="1334" spans="1:3" x14ac:dyDescent="0.1">
      <c r="A1334" s="1" t="s">
        <v>2730</v>
      </c>
      <c r="B1334" s="1" t="s">
        <v>2700</v>
      </c>
      <c r="C1334" s="1" t="s">
        <v>2731</v>
      </c>
    </row>
    <row r="1335" spans="1:3" x14ac:dyDescent="0.1">
      <c r="A1335" s="1" t="s">
        <v>2732</v>
      </c>
      <c r="B1335" s="1" t="s">
        <v>2700</v>
      </c>
      <c r="C1335" s="1" t="s">
        <v>2733</v>
      </c>
    </row>
    <row r="1336" spans="1:3" x14ac:dyDescent="0.1">
      <c r="A1336" s="1" t="s">
        <v>2734</v>
      </c>
      <c r="B1336" s="1" t="s">
        <v>2700</v>
      </c>
      <c r="C1336" s="1" t="s">
        <v>2735</v>
      </c>
    </row>
    <row r="1337" spans="1:3" x14ac:dyDescent="0.1">
      <c r="A1337" s="5" t="s">
        <v>2736</v>
      </c>
      <c r="B1337" s="5" t="s">
        <v>2737</v>
      </c>
      <c r="C1337" s="2"/>
    </row>
    <row r="1338" spans="1:3" x14ac:dyDescent="0.1">
      <c r="A1338" s="1" t="s">
        <v>2738</v>
      </c>
      <c r="B1338" s="1" t="s">
        <v>2737</v>
      </c>
      <c r="C1338" s="1" t="s">
        <v>2739</v>
      </c>
    </row>
    <row r="1339" spans="1:3" x14ac:dyDescent="0.1">
      <c r="A1339" s="1" t="s">
        <v>2740</v>
      </c>
      <c r="B1339" s="1" t="s">
        <v>2737</v>
      </c>
      <c r="C1339" s="1" t="s">
        <v>2741</v>
      </c>
    </row>
    <row r="1340" spans="1:3" x14ac:dyDescent="0.1">
      <c r="A1340" s="1" t="s">
        <v>2742</v>
      </c>
      <c r="B1340" s="1" t="s">
        <v>2737</v>
      </c>
      <c r="C1340" s="1" t="s">
        <v>2743</v>
      </c>
    </row>
    <row r="1341" spans="1:3" x14ac:dyDescent="0.1">
      <c r="A1341" s="1" t="s">
        <v>2744</v>
      </c>
      <c r="B1341" s="1" t="s">
        <v>2737</v>
      </c>
      <c r="C1341" s="1" t="s">
        <v>2745</v>
      </c>
    </row>
    <row r="1342" spans="1:3" x14ac:dyDescent="0.1">
      <c r="A1342" s="1" t="s">
        <v>2746</v>
      </c>
      <c r="B1342" s="1" t="s">
        <v>2737</v>
      </c>
      <c r="C1342" s="1" t="s">
        <v>2747</v>
      </c>
    </row>
    <row r="1343" spans="1:3" x14ac:dyDescent="0.1">
      <c r="A1343" s="1" t="s">
        <v>2748</v>
      </c>
      <c r="B1343" s="1" t="s">
        <v>2737</v>
      </c>
      <c r="C1343" s="1" t="s">
        <v>2749</v>
      </c>
    </row>
    <row r="1344" spans="1:3" x14ac:dyDescent="0.1">
      <c r="A1344" s="1" t="s">
        <v>2750</v>
      </c>
      <c r="B1344" s="1" t="s">
        <v>2737</v>
      </c>
      <c r="C1344" s="1" t="s">
        <v>2751</v>
      </c>
    </row>
    <row r="1345" spans="1:3" x14ac:dyDescent="0.1">
      <c r="A1345" s="1" t="s">
        <v>2752</v>
      </c>
      <c r="B1345" s="1" t="s">
        <v>2737</v>
      </c>
      <c r="C1345" s="1" t="s">
        <v>2753</v>
      </c>
    </row>
    <row r="1346" spans="1:3" x14ac:dyDescent="0.1">
      <c r="A1346" s="1" t="s">
        <v>2754</v>
      </c>
      <c r="B1346" s="1" t="s">
        <v>2737</v>
      </c>
      <c r="C1346" s="1" t="s">
        <v>2755</v>
      </c>
    </row>
    <row r="1347" spans="1:3" x14ac:dyDescent="0.1">
      <c r="A1347" s="1" t="s">
        <v>2756</v>
      </c>
      <c r="B1347" s="1" t="s">
        <v>2737</v>
      </c>
      <c r="C1347" s="1" t="s">
        <v>2757</v>
      </c>
    </row>
    <row r="1348" spans="1:3" x14ac:dyDescent="0.1">
      <c r="A1348" s="1" t="s">
        <v>2758</v>
      </c>
      <c r="B1348" s="1" t="s">
        <v>2737</v>
      </c>
      <c r="C1348" s="1" t="s">
        <v>2759</v>
      </c>
    </row>
    <row r="1349" spans="1:3" x14ac:dyDescent="0.1">
      <c r="A1349" s="1" t="s">
        <v>2760</v>
      </c>
      <c r="B1349" s="1" t="s">
        <v>2737</v>
      </c>
      <c r="C1349" s="1" t="s">
        <v>2761</v>
      </c>
    </row>
    <row r="1350" spans="1:3" x14ac:dyDescent="0.1">
      <c r="A1350" s="1" t="s">
        <v>2762</v>
      </c>
      <c r="B1350" s="1" t="s">
        <v>2737</v>
      </c>
      <c r="C1350" s="1" t="s">
        <v>2763</v>
      </c>
    </row>
    <row r="1351" spans="1:3" x14ac:dyDescent="0.1">
      <c r="A1351" s="1" t="s">
        <v>2764</v>
      </c>
      <c r="B1351" s="1" t="s">
        <v>2737</v>
      </c>
      <c r="C1351" s="1" t="s">
        <v>2765</v>
      </c>
    </row>
    <row r="1352" spans="1:3" x14ac:dyDescent="0.1">
      <c r="A1352" s="1" t="s">
        <v>2766</v>
      </c>
      <c r="B1352" s="1" t="s">
        <v>2737</v>
      </c>
      <c r="C1352" s="1" t="s">
        <v>2767</v>
      </c>
    </row>
    <row r="1353" spans="1:3" x14ac:dyDescent="0.1">
      <c r="A1353" s="1" t="s">
        <v>2768</v>
      </c>
      <c r="B1353" s="1" t="s">
        <v>2737</v>
      </c>
      <c r="C1353" s="1" t="s">
        <v>2769</v>
      </c>
    </row>
    <row r="1354" spans="1:3" x14ac:dyDescent="0.1">
      <c r="A1354" s="1" t="s">
        <v>2770</v>
      </c>
      <c r="B1354" s="1" t="s">
        <v>2737</v>
      </c>
      <c r="C1354" s="1" t="s">
        <v>2771</v>
      </c>
    </row>
    <row r="1355" spans="1:3" x14ac:dyDescent="0.1">
      <c r="A1355" s="1" t="s">
        <v>2772</v>
      </c>
      <c r="B1355" s="1" t="s">
        <v>2737</v>
      </c>
      <c r="C1355" s="1" t="s">
        <v>2773</v>
      </c>
    </row>
    <row r="1356" spans="1:3" x14ac:dyDescent="0.1">
      <c r="A1356" s="1" t="s">
        <v>2774</v>
      </c>
      <c r="B1356" s="1" t="s">
        <v>2737</v>
      </c>
      <c r="C1356" s="1" t="s">
        <v>2775</v>
      </c>
    </row>
    <row r="1357" spans="1:3" x14ac:dyDescent="0.1">
      <c r="A1357" s="1" t="s">
        <v>2776</v>
      </c>
      <c r="B1357" s="1" t="s">
        <v>2737</v>
      </c>
      <c r="C1357" s="1" t="s">
        <v>2777</v>
      </c>
    </row>
    <row r="1358" spans="1:3" x14ac:dyDescent="0.1">
      <c r="A1358" s="1" t="s">
        <v>2778</v>
      </c>
      <c r="B1358" s="1" t="s">
        <v>2737</v>
      </c>
      <c r="C1358" s="1" t="s">
        <v>2779</v>
      </c>
    </row>
    <row r="1359" spans="1:3" x14ac:dyDescent="0.1">
      <c r="A1359" s="1" t="s">
        <v>2780</v>
      </c>
      <c r="B1359" s="1" t="s">
        <v>2737</v>
      </c>
      <c r="C1359" s="1" t="s">
        <v>2781</v>
      </c>
    </row>
    <row r="1360" spans="1:3" x14ac:dyDescent="0.1">
      <c r="A1360" s="1" t="s">
        <v>2782</v>
      </c>
      <c r="B1360" s="1" t="s">
        <v>2737</v>
      </c>
      <c r="C1360" s="1" t="s">
        <v>2783</v>
      </c>
    </row>
    <row r="1361" spans="1:3" x14ac:dyDescent="0.1">
      <c r="A1361" s="1" t="s">
        <v>2784</v>
      </c>
      <c r="B1361" s="1" t="s">
        <v>2737</v>
      </c>
      <c r="C1361" s="1" t="s">
        <v>2785</v>
      </c>
    </row>
    <row r="1362" spans="1:3" x14ac:dyDescent="0.1">
      <c r="A1362" s="1" t="s">
        <v>2786</v>
      </c>
      <c r="B1362" s="1" t="s">
        <v>2737</v>
      </c>
      <c r="C1362" s="1" t="s">
        <v>2787</v>
      </c>
    </row>
    <row r="1363" spans="1:3" x14ac:dyDescent="0.1">
      <c r="A1363" s="1" t="s">
        <v>2788</v>
      </c>
      <c r="B1363" s="1" t="s">
        <v>2737</v>
      </c>
      <c r="C1363" s="1" t="s">
        <v>2789</v>
      </c>
    </row>
    <row r="1364" spans="1:3" x14ac:dyDescent="0.1">
      <c r="A1364" s="1" t="s">
        <v>2790</v>
      </c>
      <c r="B1364" s="1" t="s">
        <v>2737</v>
      </c>
      <c r="C1364" s="1" t="s">
        <v>2791</v>
      </c>
    </row>
    <row r="1365" spans="1:3" x14ac:dyDescent="0.1">
      <c r="A1365" s="5" t="s">
        <v>2792</v>
      </c>
      <c r="B1365" s="5" t="s">
        <v>2793</v>
      </c>
      <c r="C1365" s="2"/>
    </row>
    <row r="1366" spans="1:3" x14ac:dyDescent="0.1">
      <c r="A1366" s="1" t="s">
        <v>2794</v>
      </c>
      <c r="B1366" s="1" t="s">
        <v>2793</v>
      </c>
      <c r="C1366" s="1" t="s">
        <v>2795</v>
      </c>
    </row>
    <row r="1367" spans="1:3" x14ac:dyDescent="0.1">
      <c r="A1367" s="1" t="s">
        <v>2796</v>
      </c>
      <c r="B1367" s="1" t="s">
        <v>2793</v>
      </c>
      <c r="C1367" s="1" t="s">
        <v>2797</v>
      </c>
    </row>
    <row r="1368" spans="1:3" x14ac:dyDescent="0.1">
      <c r="A1368" s="1" t="s">
        <v>2798</v>
      </c>
      <c r="B1368" s="1" t="s">
        <v>2793</v>
      </c>
      <c r="C1368" s="1" t="s">
        <v>2799</v>
      </c>
    </row>
    <row r="1369" spans="1:3" x14ac:dyDescent="0.1">
      <c r="A1369" s="1" t="s">
        <v>2800</v>
      </c>
      <c r="B1369" s="1" t="s">
        <v>2793</v>
      </c>
      <c r="C1369" s="1" t="s">
        <v>2801</v>
      </c>
    </row>
    <row r="1370" spans="1:3" x14ac:dyDescent="0.1">
      <c r="A1370" s="1" t="s">
        <v>2802</v>
      </c>
      <c r="B1370" s="1" t="s">
        <v>2793</v>
      </c>
      <c r="C1370" s="1" t="s">
        <v>2803</v>
      </c>
    </row>
    <row r="1371" spans="1:3" x14ac:dyDescent="0.1">
      <c r="A1371" s="1" t="s">
        <v>2804</v>
      </c>
      <c r="B1371" s="1" t="s">
        <v>2793</v>
      </c>
      <c r="C1371" s="1" t="s">
        <v>2805</v>
      </c>
    </row>
    <row r="1372" spans="1:3" x14ac:dyDescent="0.1">
      <c r="A1372" s="1" t="s">
        <v>2806</v>
      </c>
      <c r="B1372" s="1" t="s">
        <v>2793</v>
      </c>
      <c r="C1372" s="1" t="s">
        <v>1428</v>
      </c>
    </row>
    <row r="1373" spans="1:3" x14ac:dyDescent="0.1">
      <c r="A1373" s="1" t="s">
        <v>2807</v>
      </c>
      <c r="B1373" s="1" t="s">
        <v>2793</v>
      </c>
      <c r="C1373" s="1" t="s">
        <v>2808</v>
      </c>
    </row>
    <row r="1374" spans="1:3" x14ac:dyDescent="0.1">
      <c r="A1374" s="1" t="s">
        <v>2809</v>
      </c>
      <c r="B1374" s="1" t="s">
        <v>2793</v>
      </c>
      <c r="C1374" s="1" t="s">
        <v>2810</v>
      </c>
    </row>
    <row r="1375" spans="1:3" x14ac:dyDescent="0.1">
      <c r="A1375" s="1" t="s">
        <v>2811</v>
      </c>
      <c r="B1375" s="1" t="s">
        <v>2793</v>
      </c>
      <c r="C1375" s="1" t="s">
        <v>2812</v>
      </c>
    </row>
    <row r="1376" spans="1:3" x14ac:dyDescent="0.1">
      <c r="A1376" s="1" t="s">
        <v>2813</v>
      </c>
      <c r="B1376" s="1" t="s">
        <v>2793</v>
      </c>
      <c r="C1376" s="1" t="s">
        <v>2814</v>
      </c>
    </row>
    <row r="1377" spans="1:3" x14ac:dyDescent="0.1">
      <c r="A1377" s="1" t="s">
        <v>2815</v>
      </c>
      <c r="B1377" s="1" t="s">
        <v>2793</v>
      </c>
      <c r="C1377" s="1" t="s">
        <v>2816</v>
      </c>
    </row>
    <row r="1378" spans="1:3" x14ac:dyDescent="0.1">
      <c r="A1378" s="1" t="s">
        <v>2817</v>
      </c>
      <c r="B1378" s="1" t="s">
        <v>2793</v>
      </c>
      <c r="C1378" s="1" t="s">
        <v>2818</v>
      </c>
    </row>
    <row r="1379" spans="1:3" x14ac:dyDescent="0.1">
      <c r="A1379" s="1" t="s">
        <v>2819</v>
      </c>
      <c r="B1379" s="1" t="s">
        <v>2793</v>
      </c>
      <c r="C1379" s="1" t="s">
        <v>2820</v>
      </c>
    </row>
    <row r="1380" spans="1:3" x14ac:dyDescent="0.1">
      <c r="A1380" s="1" t="s">
        <v>2821</v>
      </c>
      <c r="B1380" s="1" t="s">
        <v>2793</v>
      </c>
      <c r="C1380" s="1" t="s">
        <v>2822</v>
      </c>
    </row>
    <row r="1381" spans="1:3" x14ac:dyDescent="0.1">
      <c r="A1381" s="1" t="s">
        <v>2823</v>
      </c>
      <c r="B1381" s="1" t="s">
        <v>2793</v>
      </c>
      <c r="C1381" s="1" t="s">
        <v>2824</v>
      </c>
    </row>
    <row r="1382" spans="1:3" x14ac:dyDescent="0.1">
      <c r="A1382" s="1" t="s">
        <v>2825</v>
      </c>
      <c r="B1382" s="1" t="s">
        <v>2793</v>
      </c>
      <c r="C1382" s="1" t="s">
        <v>2826</v>
      </c>
    </row>
    <row r="1383" spans="1:3" x14ac:dyDescent="0.1">
      <c r="A1383" s="1" t="s">
        <v>2827</v>
      </c>
      <c r="B1383" s="1" t="s">
        <v>2793</v>
      </c>
      <c r="C1383" s="1" t="s">
        <v>2828</v>
      </c>
    </row>
    <row r="1384" spans="1:3" x14ac:dyDescent="0.1">
      <c r="A1384" s="1" t="s">
        <v>2829</v>
      </c>
      <c r="B1384" s="1" t="s">
        <v>2793</v>
      </c>
      <c r="C1384" s="1" t="s">
        <v>2830</v>
      </c>
    </row>
    <row r="1385" spans="1:3" x14ac:dyDescent="0.1">
      <c r="A1385" s="1" t="s">
        <v>2831</v>
      </c>
      <c r="B1385" s="1" t="s">
        <v>2793</v>
      </c>
      <c r="C1385" s="1" t="s">
        <v>2832</v>
      </c>
    </row>
    <row r="1386" spans="1:3" x14ac:dyDescent="0.1">
      <c r="A1386" s="1" t="s">
        <v>2833</v>
      </c>
      <c r="B1386" s="1" t="s">
        <v>2793</v>
      </c>
      <c r="C1386" s="1" t="s">
        <v>2834</v>
      </c>
    </row>
    <row r="1387" spans="1:3" x14ac:dyDescent="0.1">
      <c r="A1387" s="1" t="s">
        <v>2835</v>
      </c>
      <c r="B1387" s="1" t="s">
        <v>2793</v>
      </c>
      <c r="C1387" s="1" t="s">
        <v>2836</v>
      </c>
    </row>
    <row r="1388" spans="1:3" x14ac:dyDescent="0.1">
      <c r="A1388" s="1" t="s">
        <v>2837</v>
      </c>
      <c r="B1388" s="1" t="s">
        <v>2793</v>
      </c>
      <c r="C1388" s="1" t="s">
        <v>2838</v>
      </c>
    </row>
    <row r="1389" spans="1:3" x14ac:dyDescent="0.1">
      <c r="A1389" s="5" t="s">
        <v>2839</v>
      </c>
      <c r="B1389" s="5" t="s">
        <v>2840</v>
      </c>
      <c r="C1389" s="2"/>
    </row>
    <row r="1390" spans="1:3" x14ac:dyDescent="0.1">
      <c r="A1390" s="1" t="s">
        <v>2841</v>
      </c>
      <c r="B1390" s="1" t="s">
        <v>2840</v>
      </c>
      <c r="C1390" s="1" t="s">
        <v>2842</v>
      </c>
    </row>
    <row r="1391" spans="1:3" x14ac:dyDescent="0.1">
      <c r="A1391" s="1" t="s">
        <v>2843</v>
      </c>
      <c r="B1391" s="1" t="s">
        <v>2840</v>
      </c>
      <c r="C1391" s="1" t="s">
        <v>2844</v>
      </c>
    </row>
    <row r="1392" spans="1:3" x14ac:dyDescent="0.1">
      <c r="A1392" s="1" t="s">
        <v>2845</v>
      </c>
      <c r="B1392" s="1" t="s">
        <v>2840</v>
      </c>
      <c r="C1392" s="1" t="s">
        <v>2846</v>
      </c>
    </row>
    <row r="1393" spans="1:3" x14ac:dyDescent="0.1">
      <c r="A1393" s="1" t="s">
        <v>2847</v>
      </c>
      <c r="B1393" s="1" t="s">
        <v>2840</v>
      </c>
      <c r="C1393" s="1" t="s">
        <v>2848</v>
      </c>
    </row>
    <row r="1394" spans="1:3" x14ac:dyDescent="0.1">
      <c r="A1394" s="1" t="s">
        <v>2849</v>
      </c>
      <c r="B1394" s="1" t="s">
        <v>2840</v>
      </c>
      <c r="C1394" s="1" t="s">
        <v>2850</v>
      </c>
    </row>
    <row r="1395" spans="1:3" x14ac:dyDescent="0.1">
      <c r="A1395" s="1" t="s">
        <v>2851</v>
      </c>
      <c r="B1395" s="1" t="s">
        <v>2840</v>
      </c>
      <c r="C1395" s="1" t="s">
        <v>2852</v>
      </c>
    </row>
    <row r="1396" spans="1:3" x14ac:dyDescent="0.1">
      <c r="A1396" s="1" t="s">
        <v>2853</v>
      </c>
      <c r="B1396" s="1" t="s">
        <v>2840</v>
      </c>
      <c r="C1396" s="1" t="s">
        <v>2854</v>
      </c>
    </row>
    <row r="1397" spans="1:3" x14ac:dyDescent="0.1">
      <c r="A1397" s="1" t="s">
        <v>2855</v>
      </c>
      <c r="B1397" s="1" t="s">
        <v>2840</v>
      </c>
      <c r="C1397" s="1" t="s">
        <v>2856</v>
      </c>
    </row>
    <row r="1398" spans="1:3" x14ac:dyDescent="0.1">
      <c r="A1398" s="1" t="s">
        <v>2857</v>
      </c>
      <c r="B1398" s="1" t="s">
        <v>2840</v>
      </c>
      <c r="C1398" s="1" t="s">
        <v>2858</v>
      </c>
    </row>
    <row r="1399" spans="1:3" x14ac:dyDescent="0.1">
      <c r="A1399" s="1" t="s">
        <v>2859</v>
      </c>
      <c r="B1399" s="1" t="s">
        <v>2840</v>
      </c>
      <c r="C1399" s="1" t="s">
        <v>2860</v>
      </c>
    </row>
    <row r="1400" spans="1:3" x14ac:dyDescent="0.1">
      <c r="A1400" s="1" t="s">
        <v>2861</v>
      </c>
      <c r="B1400" s="1" t="s">
        <v>2840</v>
      </c>
      <c r="C1400" s="1" t="s">
        <v>2862</v>
      </c>
    </row>
    <row r="1401" spans="1:3" x14ac:dyDescent="0.1">
      <c r="A1401" s="1" t="s">
        <v>2863</v>
      </c>
      <c r="B1401" s="1" t="s">
        <v>2840</v>
      </c>
      <c r="C1401" s="1" t="s">
        <v>2864</v>
      </c>
    </row>
    <row r="1402" spans="1:3" x14ac:dyDescent="0.1">
      <c r="A1402" s="1" t="s">
        <v>2865</v>
      </c>
      <c r="B1402" s="1" t="s">
        <v>2840</v>
      </c>
      <c r="C1402" s="1" t="s">
        <v>2866</v>
      </c>
    </row>
    <row r="1403" spans="1:3" x14ac:dyDescent="0.1">
      <c r="A1403" s="1" t="s">
        <v>2867</v>
      </c>
      <c r="B1403" s="1" t="s">
        <v>2840</v>
      </c>
      <c r="C1403" s="1" t="s">
        <v>2868</v>
      </c>
    </row>
    <row r="1404" spans="1:3" x14ac:dyDescent="0.1">
      <c r="A1404" s="1" t="s">
        <v>2869</v>
      </c>
      <c r="B1404" s="1" t="s">
        <v>2840</v>
      </c>
      <c r="C1404" s="1" t="s">
        <v>2870</v>
      </c>
    </row>
    <row r="1405" spans="1:3" x14ac:dyDescent="0.1">
      <c r="A1405" s="1" t="s">
        <v>2871</v>
      </c>
      <c r="B1405" s="1" t="s">
        <v>2840</v>
      </c>
      <c r="C1405" s="1" t="s">
        <v>2872</v>
      </c>
    </row>
    <row r="1406" spans="1:3" x14ac:dyDescent="0.1">
      <c r="A1406" s="1" t="s">
        <v>2873</v>
      </c>
      <c r="B1406" s="1" t="s">
        <v>2840</v>
      </c>
      <c r="C1406" s="1" t="s">
        <v>2874</v>
      </c>
    </row>
    <row r="1407" spans="1:3" x14ac:dyDescent="0.1">
      <c r="A1407" s="1" t="s">
        <v>2875</v>
      </c>
      <c r="B1407" s="1" t="s">
        <v>2840</v>
      </c>
      <c r="C1407" s="1" t="s">
        <v>2876</v>
      </c>
    </row>
    <row r="1408" spans="1:3" x14ac:dyDescent="0.1">
      <c r="A1408" s="1" t="s">
        <v>2877</v>
      </c>
      <c r="B1408" s="1" t="s">
        <v>2840</v>
      </c>
      <c r="C1408" s="1" t="s">
        <v>2878</v>
      </c>
    </row>
    <row r="1409" spans="1:3" x14ac:dyDescent="0.1">
      <c r="A1409" s="5" t="s">
        <v>2879</v>
      </c>
      <c r="B1409" s="5" t="s">
        <v>2880</v>
      </c>
      <c r="C1409" s="2"/>
    </row>
    <row r="1410" spans="1:3" x14ac:dyDescent="0.1">
      <c r="A1410" s="1" t="s">
        <v>2881</v>
      </c>
      <c r="B1410" s="1" t="s">
        <v>2880</v>
      </c>
      <c r="C1410" s="1" t="s">
        <v>2882</v>
      </c>
    </row>
    <row r="1411" spans="1:3" x14ac:dyDescent="0.1">
      <c r="A1411" s="1" t="s">
        <v>2883</v>
      </c>
      <c r="B1411" s="1" t="s">
        <v>2880</v>
      </c>
      <c r="C1411" s="1" t="s">
        <v>2884</v>
      </c>
    </row>
    <row r="1412" spans="1:3" x14ac:dyDescent="0.1">
      <c r="A1412" s="1" t="s">
        <v>2885</v>
      </c>
      <c r="B1412" s="1" t="s">
        <v>2880</v>
      </c>
      <c r="C1412" s="1" t="s">
        <v>2886</v>
      </c>
    </row>
    <row r="1413" spans="1:3" x14ac:dyDescent="0.1">
      <c r="A1413" s="1" t="s">
        <v>2887</v>
      </c>
      <c r="B1413" s="1" t="s">
        <v>2880</v>
      </c>
      <c r="C1413" s="1" t="s">
        <v>2888</v>
      </c>
    </row>
    <row r="1414" spans="1:3" x14ac:dyDescent="0.1">
      <c r="A1414" s="1" t="s">
        <v>2889</v>
      </c>
      <c r="B1414" s="1" t="s">
        <v>2880</v>
      </c>
      <c r="C1414" s="1" t="s">
        <v>2890</v>
      </c>
    </row>
    <row r="1415" spans="1:3" x14ac:dyDescent="0.1">
      <c r="A1415" s="1" t="s">
        <v>2891</v>
      </c>
      <c r="B1415" s="1" t="s">
        <v>2880</v>
      </c>
      <c r="C1415" s="1" t="s">
        <v>2892</v>
      </c>
    </row>
    <row r="1416" spans="1:3" x14ac:dyDescent="0.1">
      <c r="A1416" s="1" t="s">
        <v>2893</v>
      </c>
      <c r="B1416" s="1" t="s">
        <v>2880</v>
      </c>
      <c r="C1416" s="1" t="s">
        <v>2894</v>
      </c>
    </row>
    <row r="1417" spans="1:3" x14ac:dyDescent="0.1">
      <c r="A1417" s="1" t="s">
        <v>2895</v>
      </c>
      <c r="B1417" s="1" t="s">
        <v>2880</v>
      </c>
      <c r="C1417" s="1" t="s">
        <v>2896</v>
      </c>
    </row>
    <row r="1418" spans="1:3" x14ac:dyDescent="0.1">
      <c r="A1418" s="1" t="s">
        <v>2897</v>
      </c>
      <c r="B1418" s="1" t="s">
        <v>2880</v>
      </c>
      <c r="C1418" s="1" t="s">
        <v>2898</v>
      </c>
    </row>
    <row r="1419" spans="1:3" x14ac:dyDescent="0.1">
      <c r="A1419" s="1" t="s">
        <v>2899</v>
      </c>
      <c r="B1419" s="1" t="s">
        <v>2880</v>
      </c>
      <c r="C1419" s="1" t="s">
        <v>2900</v>
      </c>
    </row>
    <row r="1420" spans="1:3" x14ac:dyDescent="0.1">
      <c r="A1420" s="1" t="s">
        <v>2901</v>
      </c>
      <c r="B1420" s="1" t="s">
        <v>2880</v>
      </c>
      <c r="C1420" s="1" t="s">
        <v>2902</v>
      </c>
    </row>
    <row r="1421" spans="1:3" x14ac:dyDescent="0.1">
      <c r="A1421" s="1" t="s">
        <v>2903</v>
      </c>
      <c r="B1421" s="1" t="s">
        <v>2880</v>
      </c>
      <c r="C1421" s="1" t="s">
        <v>2904</v>
      </c>
    </row>
    <row r="1422" spans="1:3" x14ac:dyDescent="0.1">
      <c r="A1422" s="1" t="s">
        <v>2905</v>
      </c>
      <c r="B1422" s="1" t="s">
        <v>2880</v>
      </c>
      <c r="C1422" s="1" t="s">
        <v>2906</v>
      </c>
    </row>
    <row r="1423" spans="1:3" x14ac:dyDescent="0.1">
      <c r="A1423" s="1" t="s">
        <v>2907</v>
      </c>
      <c r="B1423" s="1" t="s">
        <v>2880</v>
      </c>
      <c r="C1423" s="1" t="s">
        <v>2908</v>
      </c>
    </row>
    <row r="1424" spans="1:3" x14ac:dyDescent="0.1">
      <c r="A1424" s="1" t="s">
        <v>2909</v>
      </c>
      <c r="B1424" s="1" t="s">
        <v>2880</v>
      </c>
      <c r="C1424" s="1" t="s">
        <v>2910</v>
      </c>
    </row>
    <row r="1425" spans="1:3" x14ac:dyDescent="0.1">
      <c r="A1425" s="1" t="s">
        <v>2911</v>
      </c>
      <c r="B1425" s="1" t="s">
        <v>2880</v>
      </c>
      <c r="C1425" s="1" t="s">
        <v>2912</v>
      </c>
    </row>
    <row r="1426" spans="1:3" x14ac:dyDescent="0.1">
      <c r="A1426" s="1" t="s">
        <v>2913</v>
      </c>
      <c r="B1426" s="1" t="s">
        <v>2880</v>
      </c>
      <c r="C1426" s="1" t="s">
        <v>2914</v>
      </c>
    </row>
    <row r="1427" spans="1:3" x14ac:dyDescent="0.1">
      <c r="A1427" s="1" t="s">
        <v>2915</v>
      </c>
      <c r="B1427" s="1" t="s">
        <v>2880</v>
      </c>
      <c r="C1427" s="1" t="s">
        <v>2916</v>
      </c>
    </row>
    <row r="1428" spans="1:3" x14ac:dyDescent="0.1">
      <c r="A1428" s="1" t="s">
        <v>2917</v>
      </c>
      <c r="B1428" s="1" t="s">
        <v>2880</v>
      </c>
      <c r="C1428" s="1" t="s">
        <v>2918</v>
      </c>
    </row>
    <row r="1429" spans="1:3" x14ac:dyDescent="0.1">
      <c r="A1429" s="1" t="s">
        <v>2919</v>
      </c>
      <c r="B1429" s="1" t="s">
        <v>2880</v>
      </c>
      <c r="C1429" s="1" t="s">
        <v>2920</v>
      </c>
    </row>
    <row r="1430" spans="1:3" x14ac:dyDescent="0.1">
      <c r="A1430" s="1" t="s">
        <v>2921</v>
      </c>
      <c r="B1430" s="1" t="s">
        <v>2880</v>
      </c>
      <c r="C1430" s="1" t="s">
        <v>2922</v>
      </c>
    </row>
    <row r="1431" spans="1:3" x14ac:dyDescent="0.1">
      <c r="A1431" s="1" t="s">
        <v>2923</v>
      </c>
      <c r="B1431" s="1" t="s">
        <v>2880</v>
      </c>
      <c r="C1431" s="1" t="s">
        <v>2924</v>
      </c>
    </row>
    <row r="1432" spans="1:3" x14ac:dyDescent="0.1">
      <c r="A1432" s="1" t="s">
        <v>2925</v>
      </c>
      <c r="B1432" s="1" t="s">
        <v>2880</v>
      </c>
      <c r="C1432" s="1" t="s">
        <v>2926</v>
      </c>
    </row>
    <row r="1433" spans="1:3" x14ac:dyDescent="0.1">
      <c r="A1433" s="1" t="s">
        <v>2927</v>
      </c>
      <c r="B1433" s="1" t="s">
        <v>2880</v>
      </c>
      <c r="C1433" s="1" t="s">
        <v>2928</v>
      </c>
    </row>
    <row r="1434" spans="1:3" x14ac:dyDescent="0.1">
      <c r="A1434" s="5" t="s">
        <v>2929</v>
      </c>
      <c r="B1434" s="5" t="s">
        <v>2930</v>
      </c>
      <c r="C1434" s="2"/>
    </row>
    <row r="1435" spans="1:3" x14ac:dyDescent="0.1">
      <c r="A1435" s="1" t="s">
        <v>2931</v>
      </c>
      <c r="B1435" s="1" t="s">
        <v>2930</v>
      </c>
      <c r="C1435" s="1" t="s">
        <v>2932</v>
      </c>
    </row>
    <row r="1436" spans="1:3" x14ac:dyDescent="0.1">
      <c r="A1436" s="1" t="s">
        <v>2933</v>
      </c>
      <c r="B1436" s="1" t="s">
        <v>2930</v>
      </c>
      <c r="C1436" s="1" t="s">
        <v>2934</v>
      </c>
    </row>
    <row r="1437" spans="1:3" x14ac:dyDescent="0.1">
      <c r="A1437" s="1" t="s">
        <v>2935</v>
      </c>
      <c r="B1437" s="1" t="s">
        <v>2930</v>
      </c>
      <c r="C1437" s="1" t="s">
        <v>2936</v>
      </c>
    </row>
    <row r="1438" spans="1:3" x14ac:dyDescent="0.1">
      <c r="A1438" s="1" t="s">
        <v>2937</v>
      </c>
      <c r="B1438" s="1" t="s">
        <v>2930</v>
      </c>
      <c r="C1438" s="1" t="s">
        <v>2938</v>
      </c>
    </row>
    <row r="1439" spans="1:3" x14ac:dyDescent="0.1">
      <c r="A1439" s="1" t="s">
        <v>2939</v>
      </c>
      <c r="B1439" s="1" t="s">
        <v>2930</v>
      </c>
      <c r="C1439" s="1" t="s">
        <v>2940</v>
      </c>
    </row>
    <row r="1440" spans="1:3" x14ac:dyDescent="0.1">
      <c r="A1440" s="1" t="s">
        <v>2941</v>
      </c>
      <c r="B1440" s="1" t="s">
        <v>2930</v>
      </c>
      <c r="C1440" s="1" t="s">
        <v>2942</v>
      </c>
    </row>
    <row r="1441" spans="1:3" x14ac:dyDescent="0.1">
      <c r="A1441" s="1" t="s">
        <v>2943</v>
      </c>
      <c r="B1441" s="1" t="s">
        <v>2930</v>
      </c>
      <c r="C1441" s="1" t="s">
        <v>2944</v>
      </c>
    </row>
    <row r="1442" spans="1:3" x14ac:dyDescent="0.1">
      <c r="A1442" s="1" t="s">
        <v>2945</v>
      </c>
      <c r="B1442" s="1" t="s">
        <v>2930</v>
      </c>
      <c r="C1442" s="1" t="s">
        <v>2946</v>
      </c>
    </row>
    <row r="1443" spans="1:3" x14ac:dyDescent="0.1">
      <c r="A1443" s="1" t="s">
        <v>2947</v>
      </c>
      <c r="B1443" s="1" t="s">
        <v>2930</v>
      </c>
      <c r="C1443" s="1" t="s">
        <v>2948</v>
      </c>
    </row>
    <row r="1444" spans="1:3" x14ac:dyDescent="0.1">
      <c r="A1444" s="1" t="s">
        <v>2949</v>
      </c>
      <c r="B1444" s="1" t="s">
        <v>2930</v>
      </c>
      <c r="C1444" s="1" t="s">
        <v>2950</v>
      </c>
    </row>
    <row r="1445" spans="1:3" x14ac:dyDescent="0.1">
      <c r="A1445" s="1" t="s">
        <v>2951</v>
      </c>
      <c r="B1445" s="1" t="s">
        <v>2930</v>
      </c>
      <c r="C1445" s="1" t="s">
        <v>2952</v>
      </c>
    </row>
    <row r="1446" spans="1:3" x14ac:dyDescent="0.1">
      <c r="A1446" s="1" t="s">
        <v>2953</v>
      </c>
      <c r="B1446" s="1" t="s">
        <v>2930</v>
      </c>
      <c r="C1446" s="1" t="s">
        <v>2954</v>
      </c>
    </row>
    <row r="1447" spans="1:3" x14ac:dyDescent="0.1">
      <c r="A1447" s="1" t="s">
        <v>2955</v>
      </c>
      <c r="B1447" s="1" t="s">
        <v>2930</v>
      </c>
      <c r="C1447" s="1" t="s">
        <v>2956</v>
      </c>
    </row>
    <row r="1448" spans="1:3" x14ac:dyDescent="0.1">
      <c r="A1448" s="1" t="s">
        <v>2957</v>
      </c>
      <c r="B1448" s="1" t="s">
        <v>2930</v>
      </c>
      <c r="C1448" s="1" t="s">
        <v>2958</v>
      </c>
    </row>
    <row r="1449" spans="1:3" x14ac:dyDescent="0.1">
      <c r="A1449" s="1" t="s">
        <v>2959</v>
      </c>
      <c r="B1449" s="1" t="s">
        <v>2930</v>
      </c>
      <c r="C1449" s="1" t="s">
        <v>2960</v>
      </c>
    </row>
    <row r="1450" spans="1:3" x14ac:dyDescent="0.1">
      <c r="A1450" s="1" t="s">
        <v>2961</v>
      </c>
      <c r="B1450" s="1" t="s">
        <v>2930</v>
      </c>
      <c r="C1450" s="1" t="s">
        <v>2962</v>
      </c>
    </row>
    <row r="1451" spans="1:3" x14ac:dyDescent="0.1">
      <c r="A1451" s="1" t="s">
        <v>2963</v>
      </c>
      <c r="B1451" s="1" t="s">
        <v>2930</v>
      </c>
      <c r="C1451" s="1" t="s">
        <v>2964</v>
      </c>
    </row>
    <row r="1452" spans="1:3" x14ac:dyDescent="0.1">
      <c r="A1452" s="5" t="s">
        <v>2965</v>
      </c>
      <c r="B1452" s="5" t="s">
        <v>2966</v>
      </c>
      <c r="C1452" s="2"/>
    </row>
    <row r="1453" spans="1:3" x14ac:dyDescent="0.1">
      <c r="A1453" s="1" t="s">
        <v>2967</v>
      </c>
      <c r="B1453" s="1" t="s">
        <v>2966</v>
      </c>
      <c r="C1453" s="1" t="s">
        <v>2968</v>
      </c>
    </row>
    <row r="1454" spans="1:3" x14ac:dyDescent="0.1">
      <c r="A1454" s="1" t="s">
        <v>2969</v>
      </c>
      <c r="B1454" s="1" t="s">
        <v>2966</v>
      </c>
      <c r="C1454" s="1" t="s">
        <v>2970</v>
      </c>
    </row>
    <row r="1455" spans="1:3" x14ac:dyDescent="0.1">
      <c r="A1455" s="1" t="s">
        <v>2971</v>
      </c>
      <c r="B1455" s="1" t="s">
        <v>2966</v>
      </c>
      <c r="C1455" s="1" t="s">
        <v>2972</v>
      </c>
    </row>
    <row r="1456" spans="1:3" x14ac:dyDescent="0.1">
      <c r="A1456" s="1" t="s">
        <v>2973</v>
      </c>
      <c r="B1456" s="1" t="s">
        <v>2966</v>
      </c>
      <c r="C1456" s="1" t="s">
        <v>2974</v>
      </c>
    </row>
    <row r="1457" spans="1:3" x14ac:dyDescent="0.1">
      <c r="A1457" s="1" t="s">
        <v>2975</v>
      </c>
      <c r="B1457" s="1" t="s">
        <v>2966</v>
      </c>
      <c r="C1457" s="1" t="s">
        <v>2976</v>
      </c>
    </row>
    <row r="1458" spans="1:3" x14ac:dyDescent="0.1">
      <c r="A1458" s="1" t="s">
        <v>2977</v>
      </c>
      <c r="B1458" s="1" t="s">
        <v>2966</v>
      </c>
      <c r="C1458" s="1" t="s">
        <v>2978</v>
      </c>
    </row>
    <row r="1459" spans="1:3" x14ac:dyDescent="0.1">
      <c r="A1459" s="1" t="s">
        <v>2979</v>
      </c>
      <c r="B1459" s="1" t="s">
        <v>2966</v>
      </c>
      <c r="C1459" s="1" t="s">
        <v>2980</v>
      </c>
    </row>
    <row r="1460" spans="1:3" x14ac:dyDescent="0.1">
      <c r="A1460" s="1" t="s">
        <v>2981</v>
      </c>
      <c r="B1460" s="1" t="s">
        <v>2966</v>
      </c>
      <c r="C1460" s="1" t="s">
        <v>2982</v>
      </c>
    </row>
    <row r="1461" spans="1:3" x14ac:dyDescent="0.1">
      <c r="A1461" s="1" t="s">
        <v>2983</v>
      </c>
      <c r="B1461" s="1" t="s">
        <v>2966</v>
      </c>
      <c r="C1461" s="1" t="s">
        <v>2984</v>
      </c>
    </row>
    <row r="1462" spans="1:3" x14ac:dyDescent="0.1">
      <c r="A1462" s="1" t="s">
        <v>2985</v>
      </c>
      <c r="B1462" s="1" t="s">
        <v>2966</v>
      </c>
      <c r="C1462" s="1" t="s">
        <v>2986</v>
      </c>
    </row>
    <row r="1463" spans="1:3" x14ac:dyDescent="0.1">
      <c r="A1463" s="1" t="s">
        <v>2987</v>
      </c>
      <c r="B1463" s="1" t="s">
        <v>2966</v>
      </c>
      <c r="C1463" s="1" t="s">
        <v>2988</v>
      </c>
    </row>
    <row r="1464" spans="1:3" x14ac:dyDescent="0.1">
      <c r="A1464" s="1" t="s">
        <v>2989</v>
      </c>
      <c r="B1464" s="1" t="s">
        <v>2966</v>
      </c>
      <c r="C1464" s="1" t="s">
        <v>2990</v>
      </c>
    </row>
    <row r="1465" spans="1:3" x14ac:dyDescent="0.1">
      <c r="A1465" s="1" t="s">
        <v>2991</v>
      </c>
      <c r="B1465" s="1" t="s">
        <v>2966</v>
      </c>
      <c r="C1465" s="1" t="s">
        <v>2992</v>
      </c>
    </row>
    <row r="1466" spans="1:3" x14ac:dyDescent="0.1">
      <c r="A1466" s="1" t="s">
        <v>2993</v>
      </c>
      <c r="B1466" s="1" t="s">
        <v>2966</v>
      </c>
      <c r="C1466" s="1" t="s">
        <v>177</v>
      </c>
    </row>
    <row r="1467" spans="1:3" x14ac:dyDescent="0.1">
      <c r="A1467" s="1" t="s">
        <v>2994</v>
      </c>
      <c r="B1467" s="1" t="s">
        <v>2966</v>
      </c>
      <c r="C1467" s="1" t="s">
        <v>2995</v>
      </c>
    </row>
    <row r="1468" spans="1:3" x14ac:dyDescent="0.1">
      <c r="A1468" s="1" t="s">
        <v>2996</v>
      </c>
      <c r="B1468" s="1" t="s">
        <v>2966</v>
      </c>
      <c r="C1468" s="1" t="s">
        <v>2997</v>
      </c>
    </row>
    <row r="1469" spans="1:3" x14ac:dyDescent="0.1">
      <c r="A1469" s="1" t="s">
        <v>2998</v>
      </c>
      <c r="B1469" s="1" t="s">
        <v>2966</v>
      </c>
      <c r="C1469" s="1" t="s">
        <v>2999</v>
      </c>
    </row>
    <row r="1470" spans="1:3" x14ac:dyDescent="0.1">
      <c r="A1470" s="1" t="s">
        <v>3000</v>
      </c>
      <c r="B1470" s="1" t="s">
        <v>2966</v>
      </c>
      <c r="C1470" s="1" t="s">
        <v>3001</v>
      </c>
    </row>
    <row r="1471" spans="1:3" x14ac:dyDescent="0.1">
      <c r="A1471" s="1" t="s">
        <v>3002</v>
      </c>
      <c r="B1471" s="1" t="s">
        <v>2966</v>
      </c>
      <c r="C1471" s="1" t="s">
        <v>3003</v>
      </c>
    </row>
    <row r="1472" spans="1:3" x14ac:dyDescent="0.1">
      <c r="A1472" s="1" t="s">
        <v>3004</v>
      </c>
      <c r="B1472" s="1" t="s">
        <v>2966</v>
      </c>
      <c r="C1472" s="1" t="s">
        <v>3005</v>
      </c>
    </row>
    <row r="1473" spans="1:3" x14ac:dyDescent="0.1">
      <c r="A1473" s="5" t="s">
        <v>3006</v>
      </c>
      <c r="B1473" s="5" t="s">
        <v>3007</v>
      </c>
      <c r="C1473" s="2"/>
    </row>
    <row r="1474" spans="1:3" x14ac:dyDescent="0.1">
      <c r="A1474" s="1" t="s">
        <v>3008</v>
      </c>
      <c r="B1474" s="1" t="s">
        <v>3007</v>
      </c>
      <c r="C1474" s="1" t="s">
        <v>3009</v>
      </c>
    </row>
    <row r="1475" spans="1:3" x14ac:dyDescent="0.1">
      <c r="A1475" s="1" t="s">
        <v>3010</v>
      </c>
      <c r="B1475" s="1" t="s">
        <v>3007</v>
      </c>
      <c r="C1475" s="1" t="s">
        <v>3011</v>
      </c>
    </row>
    <row r="1476" spans="1:3" x14ac:dyDescent="0.1">
      <c r="A1476" s="1" t="s">
        <v>3012</v>
      </c>
      <c r="B1476" s="1" t="s">
        <v>3007</v>
      </c>
      <c r="C1476" s="1" t="s">
        <v>3013</v>
      </c>
    </row>
    <row r="1477" spans="1:3" x14ac:dyDescent="0.1">
      <c r="A1477" s="1" t="s">
        <v>3014</v>
      </c>
      <c r="B1477" s="1" t="s">
        <v>3007</v>
      </c>
      <c r="C1477" s="1" t="s">
        <v>3015</v>
      </c>
    </row>
    <row r="1478" spans="1:3" x14ac:dyDescent="0.1">
      <c r="A1478" s="1" t="s">
        <v>3016</v>
      </c>
      <c r="B1478" s="1" t="s">
        <v>3007</v>
      </c>
      <c r="C1478" s="1" t="s">
        <v>3017</v>
      </c>
    </row>
    <row r="1479" spans="1:3" x14ac:dyDescent="0.1">
      <c r="A1479" s="1" t="s">
        <v>3018</v>
      </c>
      <c r="B1479" s="1" t="s">
        <v>3007</v>
      </c>
      <c r="C1479" s="1" t="s">
        <v>3019</v>
      </c>
    </row>
    <row r="1480" spans="1:3" x14ac:dyDescent="0.1">
      <c r="A1480" s="1" t="s">
        <v>3020</v>
      </c>
      <c r="B1480" s="1" t="s">
        <v>3007</v>
      </c>
      <c r="C1480" s="1" t="s">
        <v>3021</v>
      </c>
    </row>
    <row r="1481" spans="1:3" x14ac:dyDescent="0.1">
      <c r="A1481" s="1" t="s">
        <v>3022</v>
      </c>
      <c r="B1481" s="1" t="s">
        <v>3007</v>
      </c>
      <c r="C1481" s="1" t="s">
        <v>3023</v>
      </c>
    </row>
    <row r="1482" spans="1:3" x14ac:dyDescent="0.1">
      <c r="A1482" s="1" t="s">
        <v>3024</v>
      </c>
      <c r="B1482" s="1" t="s">
        <v>3007</v>
      </c>
      <c r="C1482" s="1" t="s">
        <v>3025</v>
      </c>
    </row>
    <row r="1483" spans="1:3" x14ac:dyDescent="0.1">
      <c r="A1483" s="1" t="s">
        <v>3026</v>
      </c>
      <c r="B1483" s="1" t="s">
        <v>3007</v>
      </c>
      <c r="C1483" s="1" t="s">
        <v>3027</v>
      </c>
    </row>
    <row r="1484" spans="1:3" x14ac:dyDescent="0.1">
      <c r="A1484" s="1" t="s">
        <v>3028</v>
      </c>
      <c r="B1484" s="1" t="s">
        <v>3007</v>
      </c>
      <c r="C1484" s="1" t="s">
        <v>3029</v>
      </c>
    </row>
    <row r="1485" spans="1:3" x14ac:dyDescent="0.1">
      <c r="A1485" s="1" t="s">
        <v>3030</v>
      </c>
      <c r="B1485" s="1" t="s">
        <v>3007</v>
      </c>
      <c r="C1485" s="1" t="s">
        <v>3031</v>
      </c>
    </row>
    <row r="1486" spans="1:3" x14ac:dyDescent="0.1">
      <c r="A1486" s="1" t="s">
        <v>3032</v>
      </c>
      <c r="B1486" s="1" t="s">
        <v>3007</v>
      </c>
      <c r="C1486" s="1" t="s">
        <v>3033</v>
      </c>
    </row>
    <row r="1487" spans="1:3" x14ac:dyDescent="0.1">
      <c r="A1487" s="1" t="s">
        <v>3034</v>
      </c>
      <c r="B1487" s="1" t="s">
        <v>3007</v>
      </c>
      <c r="C1487" s="1" t="s">
        <v>3035</v>
      </c>
    </row>
    <row r="1488" spans="1:3" x14ac:dyDescent="0.1">
      <c r="A1488" s="1" t="s">
        <v>3036</v>
      </c>
      <c r="B1488" s="1" t="s">
        <v>3007</v>
      </c>
      <c r="C1488" s="1" t="s">
        <v>3037</v>
      </c>
    </row>
    <row r="1489" spans="1:3" x14ac:dyDescent="0.1">
      <c r="A1489" s="1" t="s">
        <v>3038</v>
      </c>
      <c r="B1489" s="1" t="s">
        <v>3007</v>
      </c>
      <c r="C1489" s="1" t="s">
        <v>3039</v>
      </c>
    </row>
    <row r="1490" spans="1:3" x14ac:dyDescent="0.1">
      <c r="A1490" s="1" t="s">
        <v>3040</v>
      </c>
      <c r="B1490" s="1" t="s">
        <v>3007</v>
      </c>
      <c r="C1490" s="1" t="s">
        <v>3041</v>
      </c>
    </row>
    <row r="1491" spans="1:3" x14ac:dyDescent="0.1">
      <c r="A1491" s="1" t="s">
        <v>3042</v>
      </c>
      <c r="B1491" s="1" t="s">
        <v>3007</v>
      </c>
      <c r="C1491" s="1" t="s">
        <v>3043</v>
      </c>
    </row>
    <row r="1492" spans="1:3" x14ac:dyDescent="0.1">
      <c r="A1492" s="1" t="s">
        <v>3044</v>
      </c>
      <c r="B1492" s="1" t="s">
        <v>3007</v>
      </c>
      <c r="C1492" s="1" t="s">
        <v>3045</v>
      </c>
    </row>
    <row r="1493" spans="1:3" x14ac:dyDescent="0.1">
      <c r="A1493" s="1" t="s">
        <v>3046</v>
      </c>
      <c r="B1493" s="1" t="s">
        <v>3007</v>
      </c>
      <c r="C1493" s="1" t="s">
        <v>3047</v>
      </c>
    </row>
    <row r="1494" spans="1:3" x14ac:dyDescent="0.1">
      <c r="A1494" s="1" t="s">
        <v>3048</v>
      </c>
      <c r="B1494" s="1" t="s">
        <v>3007</v>
      </c>
      <c r="C1494" s="1" t="s">
        <v>3049</v>
      </c>
    </row>
    <row r="1495" spans="1:3" x14ac:dyDescent="0.1">
      <c r="A1495" s="1" t="s">
        <v>3050</v>
      </c>
      <c r="B1495" s="1" t="s">
        <v>3007</v>
      </c>
      <c r="C1495" s="1" t="s">
        <v>3051</v>
      </c>
    </row>
    <row r="1496" spans="1:3" x14ac:dyDescent="0.1">
      <c r="A1496" s="1" t="s">
        <v>3052</v>
      </c>
      <c r="B1496" s="1" t="s">
        <v>3007</v>
      </c>
      <c r="C1496" s="1" t="s">
        <v>3053</v>
      </c>
    </row>
    <row r="1497" spans="1:3" x14ac:dyDescent="0.1">
      <c r="A1497" s="1" t="s">
        <v>3054</v>
      </c>
      <c r="B1497" s="1" t="s">
        <v>3007</v>
      </c>
      <c r="C1497" s="1" t="s">
        <v>3055</v>
      </c>
    </row>
    <row r="1498" spans="1:3" x14ac:dyDescent="0.1">
      <c r="A1498" s="1" t="s">
        <v>3056</v>
      </c>
      <c r="B1498" s="1" t="s">
        <v>3007</v>
      </c>
      <c r="C1498" s="1" t="s">
        <v>3057</v>
      </c>
    </row>
    <row r="1499" spans="1:3" x14ac:dyDescent="0.1">
      <c r="A1499" s="1" t="s">
        <v>3058</v>
      </c>
      <c r="B1499" s="1" t="s">
        <v>3007</v>
      </c>
      <c r="C1499" s="1" t="s">
        <v>3059</v>
      </c>
    </row>
    <row r="1500" spans="1:3" x14ac:dyDescent="0.1">
      <c r="A1500" s="1" t="s">
        <v>3060</v>
      </c>
      <c r="B1500" s="1" t="s">
        <v>3007</v>
      </c>
      <c r="C1500" s="1" t="s">
        <v>3061</v>
      </c>
    </row>
    <row r="1501" spans="1:3" x14ac:dyDescent="0.1">
      <c r="A1501" s="1" t="s">
        <v>3062</v>
      </c>
      <c r="B1501" s="1" t="s">
        <v>3007</v>
      </c>
      <c r="C1501" s="1" t="s">
        <v>3063</v>
      </c>
    </row>
    <row r="1502" spans="1:3" x14ac:dyDescent="0.1">
      <c r="A1502" s="1" t="s">
        <v>3064</v>
      </c>
      <c r="B1502" s="1" t="s">
        <v>3007</v>
      </c>
      <c r="C1502" s="1" t="s">
        <v>3065</v>
      </c>
    </row>
    <row r="1503" spans="1:3" x14ac:dyDescent="0.1">
      <c r="A1503" s="1" t="s">
        <v>3066</v>
      </c>
      <c r="B1503" s="1" t="s">
        <v>3007</v>
      </c>
      <c r="C1503" s="1" t="s">
        <v>3067</v>
      </c>
    </row>
    <row r="1504" spans="1:3" x14ac:dyDescent="0.1">
      <c r="A1504" s="1" t="s">
        <v>3068</v>
      </c>
      <c r="B1504" s="1" t="s">
        <v>3007</v>
      </c>
      <c r="C1504" s="1" t="s">
        <v>3069</v>
      </c>
    </row>
    <row r="1505" spans="1:3" x14ac:dyDescent="0.1">
      <c r="A1505" s="1" t="s">
        <v>3070</v>
      </c>
      <c r="B1505" s="1" t="s">
        <v>3007</v>
      </c>
      <c r="C1505" s="1" t="s">
        <v>3071</v>
      </c>
    </row>
    <row r="1506" spans="1:3" x14ac:dyDescent="0.1">
      <c r="A1506" s="1" t="s">
        <v>3072</v>
      </c>
      <c r="B1506" s="1" t="s">
        <v>3007</v>
      </c>
      <c r="C1506" s="1" t="s">
        <v>3073</v>
      </c>
    </row>
    <row r="1507" spans="1:3" x14ac:dyDescent="0.1">
      <c r="A1507" s="1" t="s">
        <v>3074</v>
      </c>
      <c r="B1507" s="1" t="s">
        <v>3007</v>
      </c>
      <c r="C1507" s="1" t="s">
        <v>3075</v>
      </c>
    </row>
    <row r="1508" spans="1:3" x14ac:dyDescent="0.1">
      <c r="A1508" s="5" t="s">
        <v>3076</v>
      </c>
      <c r="B1508" s="5" t="s">
        <v>3077</v>
      </c>
      <c r="C1508" s="2"/>
    </row>
    <row r="1509" spans="1:3" x14ac:dyDescent="0.1">
      <c r="A1509" s="1" t="s">
        <v>3078</v>
      </c>
      <c r="B1509" s="1" t="s">
        <v>3077</v>
      </c>
      <c r="C1509" s="1" t="s">
        <v>3079</v>
      </c>
    </row>
    <row r="1510" spans="1:3" x14ac:dyDescent="0.1">
      <c r="A1510" s="1" t="s">
        <v>3080</v>
      </c>
      <c r="B1510" s="1" t="s">
        <v>3077</v>
      </c>
      <c r="C1510" s="1" t="s">
        <v>3081</v>
      </c>
    </row>
    <row r="1511" spans="1:3" x14ac:dyDescent="0.1">
      <c r="A1511" s="1" t="s">
        <v>3082</v>
      </c>
      <c r="B1511" s="1" t="s">
        <v>3077</v>
      </c>
      <c r="C1511" s="1" t="s">
        <v>3083</v>
      </c>
    </row>
    <row r="1512" spans="1:3" x14ac:dyDescent="0.1">
      <c r="A1512" s="1" t="s">
        <v>3084</v>
      </c>
      <c r="B1512" s="1" t="s">
        <v>3077</v>
      </c>
      <c r="C1512" s="1" t="s">
        <v>3085</v>
      </c>
    </row>
    <row r="1513" spans="1:3" x14ac:dyDescent="0.1">
      <c r="A1513" s="1" t="s">
        <v>3086</v>
      </c>
      <c r="B1513" s="1" t="s">
        <v>3077</v>
      </c>
      <c r="C1513" s="1" t="s">
        <v>3087</v>
      </c>
    </row>
    <row r="1514" spans="1:3" x14ac:dyDescent="0.1">
      <c r="A1514" s="1" t="s">
        <v>3088</v>
      </c>
      <c r="B1514" s="1" t="s">
        <v>3077</v>
      </c>
      <c r="C1514" s="1" t="s">
        <v>3089</v>
      </c>
    </row>
    <row r="1515" spans="1:3" x14ac:dyDescent="0.1">
      <c r="A1515" s="1" t="s">
        <v>3090</v>
      </c>
      <c r="B1515" s="1" t="s">
        <v>3077</v>
      </c>
      <c r="C1515" s="1" t="s">
        <v>3091</v>
      </c>
    </row>
    <row r="1516" spans="1:3" x14ac:dyDescent="0.1">
      <c r="A1516" s="1" t="s">
        <v>3092</v>
      </c>
      <c r="B1516" s="1" t="s">
        <v>3077</v>
      </c>
      <c r="C1516" s="1" t="s">
        <v>3093</v>
      </c>
    </row>
    <row r="1517" spans="1:3" x14ac:dyDescent="0.1">
      <c r="A1517" s="1" t="s">
        <v>3094</v>
      </c>
      <c r="B1517" s="1" t="s">
        <v>3077</v>
      </c>
      <c r="C1517" s="1" t="s">
        <v>3095</v>
      </c>
    </row>
    <row r="1518" spans="1:3" x14ac:dyDescent="0.1">
      <c r="A1518" s="1" t="s">
        <v>3096</v>
      </c>
      <c r="B1518" s="1" t="s">
        <v>3077</v>
      </c>
      <c r="C1518" s="1" t="s">
        <v>3097</v>
      </c>
    </row>
    <row r="1519" spans="1:3" x14ac:dyDescent="0.1">
      <c r="A1519" s="1" t="s">
        <v>3098</v>
      </c>
      <c r="B1519" s="1" t="s">
        <v>3077</v>
      </c>
      <c r="C1519" s="1" t="s">
        <v>3099</v>
      </c>
    </row>
    <row r="1520" spans="1:3" x14ac:dyDescent="0.1">
      <c r="A1520" s="1" t="s">
        <v>3100</v>
      </c>
      <c r="B1520" s="1" t="s">
        <v>3077</v>
      </c>
      <c r="C1520" s="1" t="s">
        <v>3642</v>
      </c>
    </row>
    <row r="1521" spans="1:3" x14ac:dyDescent="0.1">
      <c r="A1521" s="1" t="s">
        <v>3101</v>
      </c>
      <c r="B1521" s="1" t="s">
        <v>3077</v>
      </c>
      <c r="C1521" s="1" t="s">
        <v>3102</v>
      </c>
    </row>
    <row r="1522" spans="1:3" x14ac:dyDescent="0.1">
      <c r="A1522" s="1" t="s">
        <v>3103</v>
      </c>
      <c r="B1522" s="1" t="s">
        <v>3077</v>
      </c>
      <c r="C1522" s="1" t="s">
        <v>3104</v>
      </c>
    </row>
    <row r="1523" spans="1:3" x14ac:dyDescent="0.1">
      <c r="A1523" s="1" t="s">
        <v>3105</v>
      </c>
      <c r="B1523" s="1" t="s">
        <v>3077</v>
      </c>
      <c r="C1523" s="1" t="s">
        <v>3106</v>
      </c>
    </row>
    <row r="1524" spans="1:3" x14ac:dyDescent="0.1">
      <c r="A1524" s="1" t="s">
        <v>3107</v>
      </c>
      <c r="B1524" s="1" t="s">
        <v>3077</v>
      </c>
      <c r="C1524" s="1" t="s">
        <v>3108</v>
      </c>
    </row>
    <row r="1525" spans="1:3" x14ac:dyDescent="0.1">
      <c r="A1525" s="1" t="s">
        <v>3109</v>
      </c>
      <c r="B1525" s="1" t="s">
        <v>3077</v>
      </c>
      <c r="C1525" s="1" t="s">
        <v>3110</v>
      </c>
    </row>
    <row r="1526" spans="1:3" x14ac:dyDescent="0.1">
      <c r="A1526" s="1" t="s">
        <v>3111</v>
      </c>
      <c r="B1526" s="1" t="s">
        <v>3077</v>
      </c>
      <c r="C1526" s="1" t="s">
        <v>3112</v>
      </c>
    </row>
    <row r="1527" spans="1:3" x14ac:dyDescent="0.1">
      <c r="A1527" s="1" t="s">
        <v>3113</v>
      </c>
      <c r="B1527" s="1" t="s">
        <v>3077</v>
      </c>
      <c r="C1527" s="1" t="s">
        <v>3114</v>
      </c>
    </row>
    <row r="1528" spans="1:3" x14ac:dyDescent="0.1">
      <c r="A1528" s="1" t="s">
        <v>3115</v>
      </c>
      <c r="B1528" s="1" t="s">
        <v>3077</v>
      </c>
      <c r="C1528" s="1" t="s">
        <v>3116</v>
      </c>
    </row>
    <row r="1529" spans="1:3" x14ac:dyDescent="0.1">
      <c r="A1529" s="1" t="s">
        <v>3117</v>
      </c>
      <c r="B1529" s="1" t="s">
        <v>3077</v>
      </c>
      <c r="C1529" s="1" t="s">
        <v>3118</v>
      </c>
    </row>
    <row r="1530" spans="1:3" x14ac:dyDescent="0.1">
      <c r="A1530" s="1" t="s">
        <v>3119</v>
      </c>
      <c r="B1530" s="1" t="s">
        <v>3077</v>
      </c>
      <c r="C1530" s="1" t="s">
        <v>3120</v>
      </c>
    </row>
    <row r="1531" spans="1:3" x14ac:dyDescent="0.1">
      <c r="A1531" s="1" t="s">
        <v>3121</v>
      </c>
      <c r="B1531" s="1" t="s">
        <v>3077</v>
      </c>
      <c r="C1531" s="1" t="s">
        <v>3122</v>
      </c>
    </row>
    <row r="1532" spans="1:3" x14ac:dyDescent="0.1">
      <c r="A1532" s="1" t="s">
        <v>3123</v>
      </c>
      <c r="B1532" s="1" t="s">
        <v>3077</v>
      </c>
      <c r="C1532" s="1" t="s">
        <v>3124</v>
      </c>
    </row>
    <row r="1533" spans="1:3" x14ac:dyDescent="0.1">
      <c r="A1533" s="1" t="s">
        <v>3125</v>
      </c>
      <c r="B1533" s="1" t="s">
        <v>3077</v>
      </c>
      <c r="C1533" s="1" t="s">
        <v>3126</v>
      </c>
    </row>
    <row r="1534" spans="1:3" x14ac:dyDescent="0.1">
      <c r="A1534" s="1" t="s">
        <v>3127</v>
      </c>
      <c r="B1534" s="1" t="s">
        <v>3077</v>
      </c>
      <c r="C1534" s="1" t="s">
        <v>3128</v>
      </c>
    </row>
    <row r="1535" spans="1:3" x14ac:dyDescent="0.1">
      <c r="A1535" s="1" t="s">
        <v>3129</v>
      </c>
      <c r="B1535" s="1" t="s">
        <v>3077</v>
      </c>
      <c r="C1535" s="1" t="s">
        <v>3130</v>
      </c>
    </row>
    <row r="1536" spans="1:3" x14ac:dyDescent="0.1">
      <c r="A1536" s="1" t="s">
        <v>3131</v>
      </c>
      <c r="B1536" s="1" t="s">
        <v>3077</v>
      </c>
      <c r="C1536" s="1" t="s">
        <v>3132</v>
      </c>
    </row>
    <row r="1537" spans="1:3" x14ac:dyDescent="0.1">
      <c r="A1537" s="1" t="s">
        <v>3643</v>
      </c>
      <c r="B1537" s="1" t="s">
        <v>3644</v>
      </c>
      <c r="C1537" s="1" t="s">
        <v>3645</v>
      </c>
    </row>
    <row r="1538" spans="1:3" x14ac:dyDescent="0.1">
      <c r="A1538" s="1" t="s">
        <v>3133</v>
      </c>
      <c r="B1538" s="1" t="s">
        <v>3077</v>
      </c>
      <c r="C1538" s="1" t="s">
        <v>3134</v>
      </c>
    </row>
    <row r="1539" spans="1:3" x14ac:dyDescent="0.1">
      <c r="A1539" s="1" t="s">
        <v>3135</v>
      </c>
      <c r="B1539" s="1" t="s">
        <v>3077</v>
      </c>
      <c r="C1539" s="1" t="s">
        <v>3136</v>
      </c>
    </row>
    <row r="1540" spans="1:3" x14ac:dyDescent="0.1">
      <c r="A1540" s="1" t="s">
        <v>3137</v>
      </c>
      <c r="B1540" s="1" t="s">
        <v>3077</v>
      </c>
      <c r="C1540" s="1" t="s">
        <v>3138</v>
      </c>
    </row>
    <row r="1541" spans="1:3" x14ac:dyDescent="0.1">
      <c r="A1541" s="1" t="s">
        <v>3139</v>
      </c>
      <c r="B1541" s="1" t="s">
        <v>3077</v>
      </c>
      <c r="C1541" s="1" t="s">
        <v>3140</v>
      </c>
    </row>
    <row r="1542" spans="1:3" x14ac:dyDescent="0.1">
      <c r="A1542" s="1" t="s">
        <v>3141</v>
      </c>
      <c r="B1542" s="1" t="s">
        <v>3077</v>
      </c>
      <c r="C1542" s="1" t="s">
        <v>3142</v>
      </c>
    </row>
    <row r="1543" spans="1:3" x14ac:dyDescent="0.1">
      <c r="A1543" s="1" t="s">
        <v>3143</v>
      </c>
      <c r="B1543" s="1" t="s">
        <v>3077</v>
      </c>
      <c r="C1543" s="1" t="s">
        <v>3144</v>
      </c>
    </row>
    <row r="1544" spans="1:3" x14ac:dyDescent="0.1">
      <c r="A1544" s="1" t="s">
        <v>3145</v>
      </c>
      <c r="B1544" s="1" t="s">
        <v>3077</v>
      </c>
      <c r="C1544" s="1" t="s">
        <v>3146</v>
      </c>
    </row>
    <row r="1545" spans="1:3" x14ac:dyDescent="0.1">
      <c r="A1545" s="1" t="s">
        <v>3147</v>
      </c>
      <c r="B1545" s="1" t="s">
        <v>3077</v>
      </c>
      <c r="C1545" s="1" t="s">
        <v>3148</v>
      </c>
    </row>
    <row r="1546" spans="1:3" x14ac:dyDescent="0.1">
      <c r="A1546" s="1" t="s">
        <v>3149</v>
      </c>
      <c r="B1546" s="1" t="s">
        <v>3077</v>
      </c>
      <c r="C1546" s="1" t="s">
        <v>3150</v>
      </c>
    </row>
    <row r="1547" spans="1:3" x14ac:dyDescent="0.1">
      <c r="A1547" s="1" t="s">
        <v>3151</v>
      </c>
      <c r="B1547" s="1" t="s">
        <v>3077</v>
      </c>
      <c r="C1547" s="1" t="s">
        <v>3152</v>
      </c>
    </row>
    <row r="1548" spans="1:3" x14ac:dyDescent="0.1">
      <c r="A1548" s="1" t="s">
        <v>3153</v>
      </c>
      <c r="B1548" s="1" t="s">
        <v>3077</v>
      </c>
      <c r="C1548" s="1" t="s">
        <v>3154</v>
      </c>
    </row>
    <row r="1549" spans="1:3" x14ac:dyDescent="0.1">
      <c r="A1549" s="1" t="s">
        <v>3155</v>
      </c>
      <c r="B1549" s="1" t="s">
        <v>3077</v>
      </c>
      <c r="C1549" s="1" t="s">
        <v>3156</v>
      </c>
    </row>
    <row r="1550" spans="1:3" x14ac:dyDescent="0.1">
      <c r="A1550" s="1" t="s">
        <v>3157</v>
      </c>
      <c r="B1550" s="1" t="s">
        <v>3077</v>
      </c>
      <c r="C1550" s="1" t="s">
        <v>3158</v>
      </c>
    </row>
    <row r="1551" spans="1:3" x14ac:dyDescent="0.1">
      <c r="A1551" s="1" t="s">
        <v>3159</v>
      </c>
      <c r="B1551" s="1" t="s">
        <v>3077</v>
      </c>
      <c r="C1551" s="1" t="s">
        <v>3160</v>
      </c>
    </row>
    <row r="1552" spans="1:3" x14ac:dyDescent="0.1">
      <c r="A1552" s="1" t="s">
        <v>3161</v>
      </c>
      <c r="B1552" s="1" t="s">
        <v>3077</v>
      </c>
      <c r="C1552" s="1" t="s">
        <v>3162</v>
      </c>
    </row>
    <row r="1553" spans="1:3" x14ac:dyDescent="0.1">
      <c r="A1553" s="1" t="s">
        <v>3163</v>
      </c>
      <c r="B1553" s="1" t="s">
        <v>3077</v>
      </c>
      <c r="C1553" s="1" t="s">
        <v>3164</v>
      </c>
    </row>
    <row r="1554" spans="1:3" x14ac:dyDescent="0.1">
      <c r="A1554" s="1" t="s">
        <v>3165</v>
      </c>
      <c r="B1554" s="1" t="s">
        <v>3077</v>
      </c>
      <c r="C1554" s="1" t="s">
        <v>3166</v>
      </c>
    </row>
    <row r="1555" spans="1:3" x14ac:dyDescent="0.1">
      <c r="A1555" s="1" t="s">
        <v>3167</v>
      </c>
      <c r="B1555" s="1" t="s">
        <v>3077</v>
      </c>
      <c r="C1555" s="1" t="s">
        <v>3168</v>
      </c>
    </row>
    <row r="1556" spans="1:3" x14ac:dyDescent="0.1">
      <c r="A1556" s="1" t="s">
        <v>3169</v>
      </c>
      <c r="B1556" s="1" t="s">
        <v>3077</v>
      </c>
      <c r="C1556" s="1" t="s">
        <v>2632</v>
      </c>
    </row>
    <row r="1557" spans="1:3" x14ac:dyDescent="0.1">
      <c r="A1557" s="1" t="s">
        <v>3170</v>
      </c>
      <c r="B1557" s="1" t="s">
        <v>3077</v>
      </c>
      <c r="C1557" s="1" t="s">
        <v>3171</v>
      </c>
    </row>
    <row r="1558" spans="1:3" x14ac:dyDescent="0.1">
      <c r="A1558" s="1" t="s">
        <v>3172</v>
      </c>
      <c r="B1558" s="1" t="s">
        <v>3077</v>
      </c>
      <c r="C1558" s="1" t="s">
        <v>3173</v>
      </c>
    </row>
    <row r="1559" spans="1:3" x14ac:dyDescent="0.1">
      <c r="A1559" s="1" t="s">
        <v>3174</v>
      </c>
      <c r="B1559" s="1" t="s">
        <v>3077</v>
      </c>
      <c r="C1559" s="1" t="s">
        <v>3175</v>
      </c>
    </row>
    <row r="1560" spans="1:3" x14ac:dyDescent="0.1">
      <c r="A1560" s="1" t="s">
        <v>3176</v>
      </c>
      <c r="B1560" s="1" t="s">
        <v>3077</v>
      </c>
      <c r="C1560" s="1" t="s">
        <v>648</v>
      </c>
    </row>
    <row r="1561" spans="1:3" x14ac:dyDescent="0.1">
      <c r="A1561" s="1" t="s">
        <v>3177</v>
      </c>
      <c r="B1561" s="1" t="s">
        <v>3077</v>
      </c>
      <c r="C1561" s="1" t="s">
        <v>3178</v>
      </c>
    </row>
    <row r="1562" spans="1:3" x14ac:dyDescent="0.1">
      <c r="A1562" s="1" t="s">
        <v>3179</v>
      </c>
      <c r="B1562" s="1" t="s">
        <v>3077</v>
      </c>
      <c r="C1562" s="1" t="s">
        <v>3646</v>
      </c>
    </row>
    <row r="1563" spans="1:3" x14ac:dyDescent="0.1">
      <c r="A1563" s="1" t="s">
        <v>3180</v>
      </c>
      <c r="B1563" s="1" t="s">
        <v>3077</v>
      </c>
      <c r="C1563" s="1" t="s">
        <v>3181</v>
      </c>
    </row>
    <row r="1564" spans="1:3" x14ac:dyDescent="0.1">
      <c r="A1564" s="1" t="s">
        <v>3182</v>
      </c>
      <c r="B1564" s="1" t="s">
        <v>3077</v>
      </c>
      <c r="C1564" s="1" t="s">
        <v>3183</v>
      </c>
    </row>
    <row r="1565" spans="1:3" x14ac:dyDescent="0.1">
      <c r="A1565" s="1" t="s">
        <v>3184</v>
      </c>
      <c r="B1565" s="1" t="s">
        <v>3077</v>
      </c>
      <c r="C1565" s="1" t="s">
        <v>3185</v>
      </c>
    </row>
    <row r="1566" spans="1:3" x14ac:dyDescent="0.1">
      <c r="A1566" s="1" t="s">
        <v>3186</v>
      </c>
      <c r="B1566" s="1" t="s">
        <v>3077</v>
      </c>
      <c r="C1566" s="1" t="s">
        <v>3187</v>
      </c>
    </row>
    <row r="1567" spans="1:3" x14ac:dyDescent="0.1">
      <c r="A1567" s="1" t="s">
        <v>3188</v>
      </c>
      <c r="B1567" s="1" t="s">
        <v>3077</v>
      </c>
      <c r="C1567" s="1" t="s">
        <v>3189</v>
      </c>
    </row>
    <row r="1568" spans="1:3" x14ac:dyDescent="0.1">
      <c r="A1568" s="1" t="s">
        <v>3190</v>
      </c>
      <c r="B1568" s="1" t="s">
        <v>3077</v>
      </c>
      <c r="C1568" s="1" t="s">
        <v>3191</v>
      </c>
    </row>
    <row r="1569" spans="1:3" x14ac:dyDescent="0.1">
      <c r="A1569" s="5" t="s">
        <v>3192</v>
      </c>
      <c r="B1569" s="5" t="s">
        <v>3193</v>
      </c>
      <c r="C1569" s="2"/>
    </row>
    <row r="1570" spans="1:3" x14ac:dyDescent="0.1">
      <c r="A1570" s="1" t="s">
        <v>3194</v>
      </c>
      <c r="B1570" s="1" t="s">
        <v>3193</v>
      </c>
      <c r="C1570" s="1" t="s">
        <v>3195</v>
      </c>
    </row>
    <row r="1571" spans="1:3" x14ac:dyDescent="0.1">
      <c r="A1571" s="1" t="s">
        <v>3196</v>
      </c>
      <c r="B1571" s="1" t="s">
        <v>3193</v>
      </c>
      <c r="C1571" s="1" t="s">
        <v>3197</v>
      </c>
    </row>
    <row r="1572" spans="1:3" x14ac:dyDescent="0.1">
      <c r="A1572" s="1" t="s">
        <v>3198</v>
      </c>
      <c r="B1572" s="1" t="s">
        <v>3193</v>
      </c>
      <c r="C1572" s="1" t="s">
        <v>3199</v>
      </c>
    </row>
    <row r="1573" spans="1:3" x14ac:dyDescent="0.1">
      <c r="A1573" s="1" t="s">
        <v>3200</v>
      </c>
      <c r="B1573" s="1" t="s">
        <v>3193</v>
      </c>
      <c r="C1573" s="1" t="s">
        <v>3201</v>
      </c>
    </row>
    <row r="1574" spans="1:3" x14ac:dyDescent="0.1">
      <c r="A1574" s="1" t="s">
        <v>3202</v>
      </c>
      <c r="B1574" s="1" t="s">
        <v>3193</v>
      </c>
      <c r="C1574" s="1" t="s">
        <v>3203</v>
      </c>
    </row>
    <row r="1575" spans="1:3" x14ac:dyDescent="0.1">
      <c r="A1575" s="1" t="s">
        <v>3204</v>
      </c>
      <c r="B1575" s="1" t="s">
        <v>3193</v>
      </c>
      <c r="C1575" s="1" t="s">
        <v>3205</v>
      </c>
    </row>
    <row r="1576" spans="1:3" x14ac:dyDescent="0.1">
      <c r="A1576" s="1" t="s">
        <v>3206</v>
      </c>
      <c r="B1576" s="1" t="s">
        <v>3193</v>
      </c>
      <c r="C1576" s="1" t="s">
        <v>3207</v>
      </c>
    </row>
    <row r="1577" spans="1:3" x14ac:dyDescent="0.1">
      <c r="A1577" s="1" t="s">
        <v>3208</v>
      </c>
      <c r="B1577" s="1" t="s">
        <v>3193</v>
      </c>
      <c r="C1577" s="1" t="s">
        <v>3209</v>
      </c>
    </row>
    <row r="1578" spans="1:3" x14ac:dyDescent="0.1">
      <c r="A1578" s="1" t="s">
        <v>3210</v>
      </c>
      <c r="B1578" s="1" t="s">
        <v>3193</v>
      </c>
      <c r="C1578" s="1" t="s">
        <v>3211</v>
      </c>
    </row>
    <row r="1579" spans="1:3" x14ac:dyDescent="0.1">
      <c r="A1579" s="1" t="s">
        <v>3212</v>
      </c>
      <c r="B1579" s="1" t="s">
        <v>3193</v>
      </c>
      <c r="C1579" s="1" t="s">
        <v>3213</v>
      </c>
    </row>
    <row r="1580" spans="1:3" x14ac:dyDescent="0.1">
      <c r="A1580" s="1" t="s">
        <v>3214</v>
      </c>
      <c r="B1580" s="1" t="s">
        <v>3193</v>
      </c>
      <c r="C1580" s="1" t="s">
        <v>3215</v>
      </c>
    </row>
    <row r="1581" spans="1:3" x14ac:dyDescent="0.1">
      <c r="A1581" s="1" t="s">
        <v>3216</v>
      </c>
      <c r="B1581" s="1" t="s">
        <v>3193</v>
      </c>
      <c r="C1581" s="1" t="s">
        <v>3217</v>
      </c>
    </row>
    <row r="1582" spans="1:3" x14ac:dyDescent="0.1">
      <c r="A1582" s="1" t="s">
        <v>3218</v>
      </c>
      <c r="B1582" s="1" t="s">
        <v>3193</v>
      </c>
      <c r="C1582" s="1" t="s">
        <v>3219</v>
      </c>
    </row>
    <row r="1583" spans="1:3" x14ac:dyDescent="0.1">
      <c r="A1583" s="1" t="s">
        <v>3220</v>
      </c>
      <c r="B1583" s="1" t="s">
        <v>3193</v>
      </c>
      <c r="C1583" s="1" t="s">
        <v>3221</v>
      </c>
    </row>
    <row r="1584" spans="1:3" x14ac:dyDescent="0.1">
      <c r="A1584" s="1" t="s">
        <v>3222</v>
      </c>
      <c r="B1584" s="1" t="s">
        <v>3193</v>
      </c>
      <c r="C1584" s="1" t="s">
        <v>3223</v>
      </c>
    </row>
    <row r="1585" spans="1:3" x14ac:dyDescent="0.1">
      <c r="A1585" s="1" t="s">
        <v>3224</v>
      </c>
      <c r="B1585" s="1" t="s">
        <v>3193</v>
      </c>
      <c r="C1585" s="1" t="s">
        <v>3225</v>
      </c>
    </row>
    <row r="1586" spans="1:3" x14ac:dyDescent="0.1">
      <c r="A1586" s="1" t="s">
        <v>3226</v>
      </c>
      <c r="B1586" s="1" t="s">
        <v>3193</v>
      </c>
      <c r="C1586" s="1" t="s">
        <v>3227</v>
      </c>
    </row>
    <row r="1587" spans="1:3" x14ac:dyDescent="0.1">
      <c r="A1587" s="1" t="s">
        <v>3228</v>
      </c>
      <c r="B1587" s="1" t="s">
        <v>3193</v>
      </c>
      <c r="C1587" s="1" t="s">
        <v>3229</v>
      </c>
    </row>
    <row r="1588" spans="1:3" x14ac:dyDescent="0.1">
      <c r="A1588" s="1" t="s">
        <v>3230</v>
      </c>
      <c r="B1588" s="1" t="s">
        <v>3193</v>
      </c>
      <c r="C1588" s="1" t="s">
        <v>3231</v>
      </c>
    </row>
    <row r="1589" spans="1:3" x14ac:dyDescent="0.1">
      <c r="A1589" s="1" t="s">
        <v>3232</v>
      </c>
      <c r="B1589" s="1" t="s">
        <v>3193</v>
      </c>
      <c r="C1589" s="1" t="s">
        <v>3233</v>
      </c>
    </row>
    <row r="1590" spans="1:3" x14ac:dyDescent="0.1">
      <c r="A1590" s="5" t="s">
        <v>3234</v>
      </c>
      <c r="B1590" s="5" t="s">
        <v>3235</v>
      </c>
      <c r="C1590" s="2"/>
    </row>
    <row r="1591" spans="1:3" x14ac:dyDescent="0.1">
      <c r="A1591" s="1" t="s">
        <v>3236</v>
      </c>
      <c r="B1591" s="1" t="s">
        <v>3235</v>
      </c>
      <c r="C1591" s="1" t="s">
        <v>3237</v>
      </c>
    </row>
    <row r="1592" spans="1:3" x14ac:dyDescent="0.1">
      <c r="A1592" s="1" t="s">
        <v>3238</v>
      </c>
      <c r="B1592" s="1" t="s">
        <v>3235</v>
      </c>
      <c r="C1592" s="1" t="s">
        <v>3239</v>
      </c>
    </row>
    <row r="1593" spans="1:3" x14ac:dyDescent="0.1">
      <c r="A1593" s="1" t="s">
        <v>3240</v>
      </c>
      <c r="B1593" s="1" t="s">
        <v>3235</v>
      </c>
      <c r="C1593" s="1" t="s">
        <v>3241</v>
      </c>
    </row>
    <row r="1594" spans="1:3" x14ac:dyDescent="0.1">
      <c r="A1594" s="1" t="s">
        <v>3242</v>
      </c>
      <c r="B1594" s="1" t="s">
        <v>3235</v>
      </c>
      <c r="C1594" s="1" t="s">
        <v>3243</v>
      </c>
    </row>
    <row r="1595" spans="1:3" x14ac:dyDescent="0.1">
      <c r="A1595" s="1" t="s">
        <v>3244</v>
      </c>
      <c r="B1595" s="1" t="s">
        <v>3235</v>
      </c>
      <c r="C1595" s="1" t="s">
        <v>3245</v>
      </c>
    </row>
    <row r="1596" spans="1:3" x14ac:dyDescent="0.1">
      <c r="A1596" s="1" t="s">
        <v>3246</v>
      </c>
      <c r="B1596" s="1" t="s">
        <v>3235</v>
      </c>
      <c r="C1596" s="1" t="s">
        <v>3247</v>
      </c>
    </row>
    <row r="1597" spans="1:3" x14ac:dyDescent="0.1">
      <c r="A1597" s="1" t="s">
        <v>3248</v>
      </c>
      <c r="B1597" s="1" t="s">
        <v>3235</v>
      </c>
      <c r="C1597" s="1" t="s">
        <v>3249</v>
      </c>
    </row>
    <row r="1598" spans="1:3" x14ac:dyDescent="0.1">
      <c r="A1598" s="1" t="s">
        <v>3250</v>
      </c>
      <c r="B1598" s="1" t="s">
        <v>3235</v>
      </c>
      <c r="C1598" s="1" t="s">
        <v>3251</v>
      </c>
    </row>
    <row r="1599" spans="1:3" x14ac:dyDescent="0.1">
      <c r="A1599" s="1" t="s">
        <v>3252</v>
      </c>
      <c r="B1599" s="1" t="s">
        <v>3235</v>
      </c>
      <c r="C1599" s="1" t="s">
        <v>3253</v>
      </c>
    </row>
    <row r="1600" spans="1:3" x14ac:dyDescent="0.1">
      <c r="A1600" s="1" t="s">
        <v>3254</v>
      </c>
      <c r="B1600" s="1" t="s">
        <v>3235</v>
      </c>
      <c r="C1600" s="1" t="s">
        <v>3255</v>
      </c>
    </row>
    <row r="1601" spans="1:3" x14ac:dyDescent="0.1">
      <c r="A1601" s="1" t="s">
        <v>3256</v>
      </c>
      <c r="B1601" s="1" t="s">
        <v>3235</v>
      </c>
      <c r="C1601" s="1" t="s">
        <v>3257</v>
      </c>
    </row>
    <row r="1602" spans="1:3" x14ac:dyDescent="0.1">
      <c r="A1602" s="1" t="s">
        <v>3258</v>
      </c>
      <c r="B1602" s="1" t="s">
        <v>3235</v>
      </c>
      <c r="C1602" s="1" t="s">
        <v>3259</v>
      </c>
    </row>
    <row r="1603" spans="1:3" x14ac:dyDescent="0.1">
      <c r="A1603" s="1" t="s">
        <v>3260</v>
      </c>
      <c r="B1603" s="1" t="s">
        <v>3235</v>
      </c>
      <c r="C1603" s="1" t="s">
        <v>3261</v>
      </c>
    </row>
    <row r="1604" spans="1:3" x14ac:dyDescent="0.1">
      <c r="A1604" s="1" t="s">
        <v>3262</v>
      </c>
      <c r="B1604" s="1" t="s">
        <v>3235</v>
      </c>
      <c r="C1604" s="1" t="s">
        <v>3263</v>
      </c>
    </row>
    <row r="1605" spans="1:3" x14ac:dyDescent="0.1">
      <c r="A1605" s="1" t="s">
        <v>3264</v>
      </c>
      <c r="B1605" s="1" t="s">
        <v>3235</v>
      </c>
      <c r="C1605" s="1" t="s">
        <v>3265</v>
      </c>
    </row>
    <row r="1606" spans="1:3" x14ac:dyDescent="0.1">
      <c r="A1606" s="1" t="s">
        <v>3266</v>
      </c>
      <c r="B1606" s="1" t="s">
        <v>3235</v>
      </c>
      <c r="C1606" s="1" t="s">
        <v>3267</v>
      </c>
    </row>
    <row r="1607" spans="1:3" x14ac:dyDescent="0.1">
      <c r="A1607" s="1" t="s">
        <v>3268</v>
      </c>
      <c r="B1607" s="1" t="s">
        <v>3235</v>
      </c>
      <c r="C1607" s="1" t="s">
        <v>3269</v>
      </c>
    </row>
    <row r="1608" spans="1:3" x14ac:dyDescent="0.1">
      <c r="A1608" s="1" t="s">
        <v>3270</v>
      </c>
      <c r="B1608" s="1" t="s">
        <v>3235</v>
      </c>
      <c r="C1608" s="1" t="s">
        <v>3271</v>
      </c>
    </row>
    <row r="1609" spans="1:3" x14ac:dyDescent="0.1">
      <c r="A1609" s="1" t="s">
        <v>3272</v>
      </c>
      <c r="B1609" s="1" t="s">
        <v>3235</v>
      </c>
      <c r="C1609" s="1" t="s">
        <v>3273</v>
      </c>
    </row>
    <row r="1610" spans="1:3" x14ac:dyDescent="0.1">
      <c r="A1610" s="1" t="s">
        <v>3274</v>
      </c>
      <c r="B1610" s="1" t="s">
        <v>3235</v>
      </c>
      <c r="C1610" s="1" t="s">
        <v>3275</v>
      </c>
    </row>
    <row r="1611" spans="1:3" x14ac:dyDescent="0.1">
      <c r="A1611" s="1" t="s">
        <v>3276</v>
      </c>
      <c r="B1611" s="1" t="s">
        <v>3235</v>
      </c>
      <c r="C1611" s="1" t="s">
        <v>3277</v>
      </c>
    </row>
    <row r="1612" spans="1:3" x14ac:dyDescent="0.1">
      <c r="A1612" s="5" t="s">
        <v>3278</v>
      </c>
      <c r="B1612" s="5" t="s">
        <v>3279</v>
      </c>
      <c r="C1612" s="2"/>
    </row>
    <row r="1613" spans="1:3" x14ac:dyDescent="0.1">
      <c r="A1613" s="1" t="s">
        <v>3280</v>
      </c>
      <c r="B1613" s="1" t="s">
        <v>3279</v>
      </c>
      <c r="C1613" s="1" t="s">
        <v>3281</v>
      </c>
    </row>
    <row r="1614" spans="1:3" x14ac:dyDescent="0.1">
      <c r="A1614" s="1" t="s">
        <v>3282</v>
      </c>
      <c r="B1614" s="1" t="s">
        <v>3279</v>
      </c>
      <c r="C1614" s="1" t="s">
        <v>3283</v>
      </c>
    </row>
    <row r="1615" spans="1:3" x14ac:dyDescent="0.1">
      <c r="A1615" s="1" t="s">
        <v>3284</v>
      </c>
      <c r="B1615" s="1" t="s">
        <v>3279</v>
      </c>
      <c r="C1615" s="1" t="s">
        <v>3285</v>
      </c>
    </row>
    <row r="1616" spans="1:3" x14ac:dyDescent="0.1">
      <c r="A1616" s="1" t="s">
        <v>3286</v>
      </c>
      <c r="B1616" s="1" t="s">
        <v>3279</v>
      </c>
      <c r="C1616" s="1" t="s">
        <v>3287</v>
      </c>
    </row>
    <row r="1617" spans="1:3" x14ac:dyDescent="0.1">
      <c r="A1617" s="1" t="s">
        <v>3288</v>
      </c>
      <c r="B1617" s="1" t="s">
        <v>3279</v>
      </c>
      <c r="C1617" s="1" t="s">
        <v>3289</v>
      </c>
    </row>
    <row r="1618" spans="1:3" x14ac:dyDescent="0.1">
      <c r="A1618" s="1" t="s">
        <v>3290</v>
      </c>
      <c r="B1618" s="1" t="s">
        <v>3279</v>
      </c>
      <c r="C1618" s="1" t="s">
        <v>3291</v>
      </c>
    </row>
    <row r="1619" spans="1:3" x14ac:dyDescent="0.1">
      <c r="A1619" s="1" t="s">
        <v>3292</v>
      </c>
      <c r="B1619" s="1" t="s">
        <v>3279</v>
      </c>
      <c r="C1619" s="1" t="s">
        <v>3293</v>
      </c>
    </row>
    <row r="1620" spans="1:3" x14ac:dyDescent="0.1">
      <c r="A1620" s="1" t="s">
        <v>3294</v>
      </c>
      <c r="B1620" s="1" t="s">
        <v>3279</v>
      </c>
      <c r="C1620" s="1" t="s">
        <v>3295</v>
      </c>
    </row>
    <row r="1621" spans="1:3" x14ac:dyDescent="0.1">
      <c r="A1621" s="1" t="s">
        <v>3296</v>
      </c>
      <c r="B1621" s="1" t="s">
        <v>3279</v>
      </c>
      <c r="C1621" s="1" t="s">
        <v>3297</v>
      </c>
    </row>
    <row r="1622" spans="1:3" x14ac:dyDescent="0.1">
      <c r="A1622" s="1" t="s">
        <v>3298</v>
      </c>
      <c r="B1622" s="1" t="s">
        <v>3279</v>
      </c>
      <c r="C1622" s="1" t="s">
        <v>3299</v>
      </c>
    </row>
    <row r="1623" spans="1:3" x14ac:dyDescent="0.1">
      <c r="A1623" s="1" t="s">
        <v>3300</v>
      </c>
      <c r="B1623" s="1" t="s">
        <v>3279</v>
      </c>
      <c r="C1623" s="1" t="s">
        <v>3301</v>
      </c>
    </row>
    <row r="1624" spans="1:3" x14ac:dyDescent="0.1">
      <c r="A1624" s="1" t="s">
        <v>3302</v>
      </c>
      <c r="B1624" s="1" t="s">
        <v>3279</v>
      </c>
      <c r="C1624" s="1" t="s">
        <v>3303</v>
      </c>
    </row>
    <row r="1625" spans="1:3" x14ac:dyDescent="0.1">
      <c r="A1625" s="1" t="s">
        <v>3304</v>
      </c>
      <c r="B1625" s="1" t="s">
        <v>3279</v>
      </c>
      <c r="C1625" s="1" t="s">
        <v>3305</v>
      </c>
    </row>
    <row r="1626" spans="1:3" x14ac:dyDescent="0.1">
      <c r="A1626" s="1" t="s">
        <v>3306</v>
      </c>
      <c r="B1626" s="1" t="s">
        <v>3279</v>
      </c>
      <c r="C1626" s="1" t="s">
        <v>3307</v>
      </c>
    </row>
    <row r="1627" spans="1:3" x14ac:dyDescent="0.1">
      <c r="A1627" s="1" t="s">
        <v>3308</v>
      </c>
      <c r="B1627" s="1" t="s">
        <v>3279</v>
      </c>
      <c r="C1627" s="1" t="s">
        <v>674</v>
      </c>
    </row>
    <row r="1628" spans="1:3" x14ac:dyDescent="0.1">
      <c r="A1628" s="1" t="s">
        <v>3309</v>
      </c>
      <c r="B1628" s="1" t="s">
        <v>3279</v>
      </c>
      <c r="C1628" s="1" t="s">
        <v>3310</v>
      </c>
    </row>
    <row r="1629" spans="1:3" x14ac:dyDescent="0.1">
      <c r="A1629" s="1" t="s">
        <v>3311</v>
      </c>
      <c r="B1629" s="1" t="s">
        <v>3279</v>
      </c>
      <c r="C1629" s="1" t="s">
        <v>3312</v>
      </c>
    </row>
    <row r="1630" spans="1:3" x14ac:dyDescent="0.1">
      <c r="A1630" s="1" t="s">
        <v>3313</v>
      </c>
      <c r="B1630" s="1" t="s">
        <v>3279</v>
      </c>
      <c r="C1630" s="1" t="s">
        <v>3314</v>
      </c>
    </row>
    <row r="1631" spans="1:3" x14ac:dyDescent="0.1">
      <c r="A1631" s="1" t="s">
        <v>3315</v>
      </c>
      <c r="B1631" s="1" t="s">
        <v>3279</v>
      </c>
      <c r="C1631" s="1" t="s">
        <v>3316</v>
      </c>
    </row>
    <row r="1632" spans="1:3" x14ac:dyDescent="0.1">
      <c r="A1632" s="1" t="s">
        <v>3317</v>
      </c>
      <c r="B1632" s="1" t="s">
        <v>3279</v>
      </c>
      <c r="C1632" s="1" t="s">
        <v>3318</v>
      </c>
    </row>
    <row r="1633" spans="1:3" x14ac:dyDescent="0.1">
      <c r="A1633" s="1" t="s">
        <v>3319</v>
      </c>
      <c r="B1633" s="1" t="s">
        <v>3279</v>
      </c>
      <c r="C1633" s="1" t="s">
        <v>3320</v>
      </c>
    </row>
    <row r="1634" spans="1:3" x14ac:dyDescent="0.1">
      <c r="A1634" s="1" t="s">
        <v>3321</v>
      </c>
      <c r="B1634" s="1" t="s">
        <v>3279</v>
      </c>
      <c r="C1634" s="1" t="s">
        <v>3322</v>
      </c>
    </row>
    <row r="1635" spans="1:3" x14ac:dyDescent="0.1">
      <c r="A1635" s="1" t="s">
        <v>3323</v>
      </c>
      <c r="B1635" s="1" t="s">
        <v>3279</v>
      </c>
      <c r="C1635" s="1" t="s">
        <v>792</v>
      </c>
    </row>
    <row r="1636" spans="1:3" x14ac:dyDescent="0.1">
      <c r="A1636" s="1" t="s">
        <v>3324</v>
      </c>
      <c r="B1636" s="1" t="s">
        <v>3279</v>
      </c>
      <c r="C1636" s="1" t="s">
        <v>3325</v>
      </c>
    </row>
    <row r="1637" spans="1:3" x14ac:dyDescent="0.1">
      <c r="A1637" s="1" t="s">
        <v>3326</v>
      </c>
      <c r="B1637" s="1" t="s">
        <v>3279</v>
      </c>
      <c r="C1637" s="1" t="s">
        <v>1867</v>
      </c>
    </row>
    <row r="1638" spans="1:3" x14ac:dyDescent="0.1">
      <c r="A1638" s="1" t="s">
        <v>3327</v>
      </c>
      <c r="B1638" s="1" t="s">
        <v>3279</v>
      </c>
      <c r="C1638" s="1" t="s">
        <v>3328</v>
      </c>
    </row>
    <row r="1639" spans="1:3" x14ac:dyDescent="0.1">
      <c r="A1639" s="1" t="s">
        <v>3329</v>
      </c>
      <c r="B1639" s="1" t="s">
        <v>3279</v>
      </c>
      <c r="C1639" s="1" t="s">
        <v>3330</v>
      </c>
    </row>
    <row r="1640" spans="1:3" x14ac:dyDescent="0.1">
      <c r="A1640" s="1" t="s">
        <v>3331</v>
      </c>
      <c r="B1640" s="1" t="s">
        <v>3279</v>
      </c>
      <c r="C1640" s="1" t="s">
        <v>3332</v>
      </c>
    </row>
    <row r="1641" spans="1:3" x14ac:dyDescent="0.1">
      <c r="A1641" s="1" t="s">
        <v>3333</v>
      </c>
      <c r="B1641" s="1" t="s">
        <v>3279</v>
      </c>
      <c r="C1641" s="1" t="s">
        <v>3334</v>
      </c>
    </row>
    <row r="1642" spans="1:3" x14ac:dyDescent="0.1">
      <c r="A1642" s="1" t="s">
        <v>3335</v>
      </c>
      <c r="B1642" s="1" t="s">
        <v>3279</v>
      </c>
      <c r="C1642" s="1" t="s">
        <v>3336</v>
      </c>
    </row>
    <row r="1643" spans="1:3" x14ac:dyDescent="0.1">
      <c r="A1643" s="1" t="s">
        <v>3337</v>
      </c>
      <c r="B1643" s="1" t="s">
        <v>3279</v>
      </c>
      <c r="C1643" s="1" t="s">
        <v>3338</v>
      </c>
    </row>
    <row r="1644" spans="1:3" x14ac:dyDescent="0.1">
      <c r="A1644" s="1" t="s">
        <v>3339</v>
      </c>
      <c r="B1644" s="1" t="s">
        <v>3279</v>
      </c>
      <c r="C1644" s="1" t="s">
        <v>3340</v>
      </c>
    </row>
    <row r="1645" spans="1:3" x14ac:dyDescent="0.1">
      <c r="A1645" s="1" t="s">
        <v>3341</v>
      </c>
      <c r="B1645" s="1" t="s">
        <v>3279</v>
      </c>
      <c r="C1645" s="1" t="s">
        <v>3342</v>
      </c>
    </row>
    <row r="1646" spans="1:3" x14ac:dyDescent="0.1">
      <c r="A1646" s="1" t="s">
        <v>3343</v>
      </c>
      <c r="B1646" s="1" t="s">
        <v>3279</v>
      </c>
      <c r="C1646" s="1" t="s">
        <v>3344</v>
      </c>
    </row>
    <row r="1647" spans="1:3" x14ac:dyDescent="0.1">
      <c r="A1647" s="1" t="s">
        <v>3345</v>
      </c>
      <c r="B1647" s="1" t="s">
        <v>3279</v>
      </c>
      <c r="C1647" s="1" t="s">
        <v>3346</v>
      </c>
    </row>
    <row r="1648" spans="1:3" x14ac:dyDescent="0.1">
      <c r="A1648" s="1" t="s">
        <v>3347</v>
      </c>
      <c r="B1648" s="1" t="s">
        <v>3279</v>
      </c>
      <c r="C1648" s="1" t="s">
        <v>3348</v>
      </c>
    </row>
    <row r="1649" spans="1:3" x14ac:dyDescent="0.1">
      <c r="A1649" s="1" t="s">
        <v>3349</v>
      </c>
      <c r="B1649" s="1" t="s">
        <v>3279</v>
      </c>
      <c r="C1649" s="1" t="s">
        <v>3350</v>
      </c>
    </row>
    <row r="1650" spans="1:3" x14ac:dyDescent="0.1">
      <c r="A1650" s="1" t="s">
        <v>3351</v>
      </c>
      <c r="B1650" s="1" t="s">
        <v>3279</v>
      </c>
      <c r="C1650" s="1" t="s">
        <v>3352</v>
      </c>
    </row>
    <row r="1651" spans="1:3" x14ac:dyDescent="0.1">
      <c r="A1651" s="1" t="s">
        <v>3353</v>
      </c>
      <c r="B1651" s="1" t="s">
        <v>3279</v>
      </c>
      <c r="C1651" s="1" t="s">
        <v>3354</v>
      </c>
    </row>
    <row r="1652" spans="1:3" x14ac:dyDescent="0.1">
      <c r="A1652" s="1" t="s">
        <v>3355</v>
      </c>
      <c r="B1652" s="1" t="s">
        <v>3279</v>
      </c>
      <c r="C1652" s="1" t="s">
        <v>3356</v>
      </c>
    </row>
    <row r="1653" spans="1:3" x14ac:dyDescent="0.1">
      <c r="A1653" s="1" t="s">
        <v>3357</v>
      </c>
      <c r="B1653" s="1" t="s">
        <v>3279</v>
      </c>
      <c r="C1653" s="1" t="s">
        <v>3358</v>
      </c>
    </row>
    <row r="1654" spans="1:3" x14ac:dyDescent="0.1">
      <c r="A1654" s="1" t="s">
        <v>3359</v>
      </c>
      <c r="B1654" s="1" t="s">
        <v>3279</v>
      </c>
      <c r="C1654" s="1" t="s">
        <v>3360</v>
      </c>
    </row>
    <row r="1655" spans="1:3" x14ac:dyDescent="0.1">
      <c r="A1655" s="1" t="s">
        <v>3361</v>
      </c>
      <c r="B1655" s="1" t="s">
        <v>3279</v>
      </c>
      <c r="C1655" s="1" t="s">
        <v>3362</v>
      </c>
    </row>
    <row r="1656" spans="1:3" x14ac:dyDescent="0.1">
      <c r="A1656" s="1" t="s">
        <v>3363</v>
      </c>
      <c r="B1656" s="1" t="s">
        <v>3279</v>
      </c>
      <c r="C1656" s="1" t="s">
        <v>3364</v>
      </c>
    </row>
    <row r="1657" spans="1:3" x14ac:dyDescent="0.1">
      <c r="A1657" s="1" t="s">
        <v>3365</v>
      </c>
      <c r="B1657" s="1" t="s">
        <v>3279</v>
      </c>
      <c r="C1657" s="1" t="s">
        <v>3366</v>
      </c>
    </row>
    <row r="1658" spans="1:3" x14ac:dyDescent="0.1">
      <c r="A1658" s="5" t="s">
        <v>3367</v>
      </c>
      <c r="B1658" s="5" t="s">
        <v>3368</v>
      </c>
      <c r="C1658" s="2"/>
    </row>
    <row r="1659" spans="1:3" x14ac:dyDescent="0.1">
      <c r="A1659" s="1" t="s">
        <v>3369</v>
      </c>
      <c r="B1659" s="1" t="s">
        <v>3368</v>
      </c>
      <c r="C1659" s="1" t="s">
        <v>3370</v>
      </c>
    </row>
    <row r="1660" spans="1:3" x14ac:dyDescent="0.1">
      <c r="A1660" s="1" t="s">
        <v>3371</v>
      </c>
      <c r="B1660" s="1" t="s">
        <v>3368</v>
      </c>
      <c r="C1660" s="1" t="s">
        <v>3372</v>
      </c>
    </row>
    <row r="1661" spans="1:3" x14ac:dyDescent="0.1">
      <c r="A1661" s="1" t="s">
        <v>3373</v>
      </c>
      <c r="B1661" s="1" t="s">
        <v>3368</v>
      </c>
      <c r="C1661" s="1" t="s">
        <v>3374</v>
      </c>
    </row>
    <row r="1662" spans="1:3" x14ac:dyDescent="0.1">
      <c r="A1662" s="1" t="s">
        <v>3375</v>
      </c>
      <c r="B1662" s="1" t="s">
        <v>3368</v>
      </c>
      <c r="C1662" s="1" t="s">
        <v>3376</v>
      </c>
    </row>
    <row r="1663" spans="1:3" x14ac:dyDescent="0.1">
      <c r="A1663" s="1" t="s">
        <v>3377</v>
      </c>
      <c r="B1663" s="1" t="s">
        <v>3368</v>
      </c>
      <c r="C1663" s="1" t="s">
        <v>3378</v>
      </c>
    </row>
    <row r="1664" spans="1:3" x14ac:dyDescent="0.1">
      <c r="A1664" s="1" t="s">
        <v>3379</v>
      </c>
      <c r="B1664" s="1" t="s">
        <v>3368</v>
      </c>
      <c r="C1664" s="1" t="s">
        <v>3380</v>
      </c>
    </row>
    <row r="1665" spans="1:3" x14ac:dyDescent="0.1">
      <c r="A1665" s="1" t="s">
        <v>3381</v>
      </c>
      <c r="B1665" s="1" t="s">
        <v>3368</v>
      </c>
      <c r="C1665" s="1" t="s">
        <v>3382</v>
      </c>
    </row>
    <row r="1666" spans="1:3" x14ac:dyDescent="0.1">
      <c r="A1666" s="1" t="s">
        <v>3383</v>
      </c>
      <c r="B1666" s="1" t="s">
        <v>3368</v>
      </c>
      <c r="C1666" s="1" t="s">
        <v>3384</v>
      </c>
    </row>
    <row r="1667" spans="1:3" x14ac:dyDescent="0.1">
      <c r="A1667" s="1" t="s">
        <v>3385</v>
      </c>
      <c r="B1667" s="1" t="s">
        <v>3368</v>
      </c>
      <c r="C1667" s="1" t="s">
        <v>3386</v>
      </c>
    </row>
    <row r="1668" spans="1:3" x14ac:dyDescent="0.1">
      <c r="A1668" s="1" t="s">
        <v>3387</v>
      </c>
      <c r="B1668" s="1" t="s">
        <v>3368</v>
      </c>
      <c r="C1668" s="1" t="s">
        <v>3388</v>
      </c>
    </row>
    <row r="1669" spans="1:3" x14ac:dyDescent="0.1">
      <c r="A1669" s="1" t="s">
        <v>3389</v>
      </c>
      <c r="B1669" s="1" t="s">
        <v>3368</v>
      </c>
      <c r="C1669" s="1" t="s">
        <v>3390</v>
      </c>
    </row>
    <row r="1670" spans="1:3" x14ac:dyDescent="0.1">
      <c r="A1670" s="1" t="s">
        <v>3391</v>
      </c>
      <c r="B1670" s="1" t="s">
        <v>3368</v>
      </c>
      <c r="C1670" s="1" t="s">
        <v>3392</v>
      </c>
    </row>
    <row r="1671" spans="1:3" x14ac:dyDescent="0.1">
      <c r="A1671" s="1" t="s">
        <v>3393</v>
      </c>
      <c r="B1671" s="1" t="s">
        <v>3368</v>
      </c>
      <c r="C1671" s="1" t="s">
        <v>3394</v>
      </c>
    </row>
    <row r="1672" spans="1:3" x14ac:dyDescent="0.1">
      <c r="A1672" s="1" t="s">
        <v>3395</v>
      </c>
      <c r="B1672" s="1" t="s">
        <v>3368</v>
      </c>
      <c r="C1672" s="1" t="s">
        <v>3396</v>
      </c>
    </row>
    <row r="1673" spans="1:3" x14ac:dyDescent="0.1">
      <c r="A1673" s="1" t="s">
        <v>3397</v>
      </c>
      <c r="B1673" s="1" t="s">
        <v>3368</v>
      </c>
      <c r="C1673" s="1" t="s">
        <v>3398</v>
      </c>
    </row>
    <row r="1674" spans="1:3" x14ac:dyDescent="0.1">
      <c r="A1674" s="1" t="s">
        <v>3399</v>
      </c>
      <c r="B1674" s="1" t="s">
        <v>3368</v>
      </c>
      <c r="C1674" s="1" t="s">
        <v>3400</v>
      </c>
    </row>
    <row r="1675" spans="1:3" x14ac:dyDescent="0.1">
      <c r="A1675" s="1" t="s">
        <v>3401</v>
      </c>
      <c r="B1675" s="1" t="s">
        <v>3368</v>
      </c>
      <c r="C1675" s="1" t="s">
        <v>3402</v>
      </c>
    </row>
    <row r="1676" spans="1:3" x14ac:dyDescent="0.1">
      <c r="A1676" s="1" t="s">
        <v>3403</v>
      </c>
      <c r="B1676" s="1" t="s">
        <v>3368</v>
      </c>
      <c r="C1676" s="1" t="s">
        <v>3404</v>
      </c>
    </row>
    <row r="1677" spans="1:3" x14ac:dyDescent="0.1">
      <c r="A1677" s="5" t="s">
        <v>3405</v>
      </c>
      <c r="B1677" s="5" t="s">
        <v>3407</v>
      </c>
      <c r="C1677" s="2"/>
    </row>
    <row r="1678" spans="1:3" x14ac:dyDescent="0.1">
      <c r="A1678" s="1" t="s">
        <v>3406</v>
      </c>
      <c r="B1678" s="1" t="s">
        <v>3407</v>
      </c>
      <c r="C1678" s="1" t="s">
        <v>3408</v>
      </c>
    </row>
    <row r="1679" spans="1:3" x14ac:dyDescent="0.1">
      <c r="A1679" s="1" t="s">
        <v>3409</v>
      </c>
      <c r="B1679" s="1" t="s">
        <v>3407</v>
      </c>
      <c r="C1679" s="1" t="s">
        <v>3410</v>
      </c>
    </row>
    <row r="1680" spans="1:3" x14ac:dyDescent="0.1">
      <c r="A1680" s="1" t="s">
        <v>3411</v>
      </c>
      <c r="B1680" s="1" t="s">
        <v>3407</v>
      </c>
      <c r="C1680" s="1" t="s">
        <v>3412</v>
      </c>
    </row>
    <row r="1681" spans="1:3" x14ac:dyDescent="0.1">
      <c r="A1681" s="1" t="s">
        <v>3413</v>
      </c>
      <c r="B1681" s="1" t="s">
        <v>3407</v>
      </c>
      <c r="C1681" s="1" t="s">
        <v>3414</v>
      </c>
    </row>
    <row r="1682" spans="1:3" x14ac:dyDescent="0.1">
      <c r="A1682" s="1" t="s">
        <v>3415</v>
      </c>
      <c r="B1682" s="1" t="s">
        <v>3407</v>
      </c>
      <c r="C1682" s="1" t="s">
        <v>3416</v>
      </c>
    </row>
    <row r="1683" spans="1:3" x14ac:dyDescent="0.1">
      <c r="A1683" s="1" t="s">
        <v>3417</v>
      </c>
      <c r="B1683" s="1" t="s">
        <v>3407</v>
      </c>
      <c r="C1683" s="1" t="s">
        <v>3418</v>
      </c>
    </row>
    <row r="1684" spans="1:3" x14ac:dyDescent="0.1">
      <c r="A1684" s="1" t="s">
        <v>3419</v>
      </c>
      <c r="B1684" s="1" t="s">
        <v>3407</v>
      </c>
      <c r="C1684" s="1" t="s">
        <v>3420</v>
      </c>
    </row>
    <row r="1685" spans="1:3" x14ac:dyDescent="0.1">
      <c r="A1685" s="1" t="s">
        <v>3421</v>
      </c>
      <c r="B1685" s="1" t="s">
        <v>3407</v>
      </c>
      <c r="C1685" s="1" t="s">
        <v>3422</v>
      </c>
    </row>
    <row r="1686" spans="1:3" x14ac:dyDescent="0.1">
      <c r="A1686" s="1" t="s">
        <v>3423</v>
      </c>
      <c r="B1686" s="1" t="s">
        <v>3407</v>
      </c>
      <c r="C1686" s="1" t="s">
        <v>3424</v>
      </c>
    </row>
    <row r="1687" spans="1:3" x14ac:dyDescent="0.1">
      <c r="A1687" s="1" t="s">
        <v>3425</v>
      </c>
      <c r="B1687" s="1" t="s">
        <v>3407</v>
      </c>
      <c r="C1687" s="1" t="s">
        <v>3426</v>
      </c>
    </row>
    <row r="1688" spans="1:3" x14ac:dyDescent="0.1">
      <c r="A1688" s="1" t="s">
        <v>3427</v>
      </c>
      <c r="B1688" s="1" t="s">
        <v>3407</v>
      </c>
      <c r="C1688" s="1" t="s">
        <v>3428</v>
      </c>
    </row>
    <row r="1689" spans="1:3" x14ac:dyDescent="0.1">
      <c r="A1689" s="1" t="s">
        <v>3429</v>
      </c>
      <c r="B1689" s="1" t="s">
        <v>3407</v>
      </c>
      <c r="C1689" s="1" t="s">
        <v>3430</v>
      </c>
    </row>
    <row r="1690" spans="1:3" x14ac:dyDescent="0.1">
      <c r="A1690" s="1" t="s">
        <v>3431</v>
      </c>
      <c r="B1690" s="1" t="s">
        <v>3407</v>
      </c>
      <c r="C1690" s="1" t="s">
        <v>3432</v>
      </c>
    </row>
    <row r="1691" spans="1:3" x14ac:dyDescent="0.1">
      <c r="A1691" s="1" t="s">
        <v>3433</v>
      </c>
      <c r="B1691" s="1" t="s">
        <v>3407</v>
      </c>
      <c r="C1691" s="1" t="s">
        <v>3434</v>
      </c>
    </row>
    <row r="1692" spans="1:3" x14ac:dyDescent="0.1">
      <c r="A1692" s="1" t="s">
        <v>3435</v>
      </c>
      <c r="B1692" s="1" t="s">
        <v>3407</v>
      </c>
      <c r="C1692" s="1" t="s">
        <v>3436</v>
      </c>
    </row>
    <row r="1693" spans="1:3" x14ac:dyDescent="0.1">
      <c r="A1693" s="1" t="s">
        <v>3437</v>
      </c>
      <c r="B1693" s="1" t="s">
        <v>3407</v>
      </c>
      <c r="C1693" s="1" t="s">
        <v>3438</v>
      </c>
    </row>
    <row r="1694" spans="1:3" x14ac:dyDescent="0.1">
      <c r="A1694" s="1" t="s">
        <v>3439</v>
      </c>
      <c r="B1694" s="1" t="s">
        <v>3407</v>
      </c>
      <c r="C1694" s="1" t="s">
        <v>3440</v>
      </c>
    </row>
    <row r="1695" spans="1:3" x14ac:dyDescent="0.1">
      <c r="A1695" s="1" t="s">
        <v>3441</v>
      </c>
      <c r="B1695" s="1" t="s">
        <v>3407</v>
      </c>
      <c r="C1695" s="1" t="s">
        <v>3442</v>
      </c>
    </row>
    <row r="1696" spans="1:3" x14ac:dyDescent="0.1">
      <c r="A1696" s="1" t="s">
        <v>3443</v>
      </c>
      <c r="B1696" s="1" t="s">
        <v>3407</v>
      </c>
      <c r="C1696" s="1" t="s">
        <v>3444</v>
      </c>
    </row>
    <row r="1697" spans="1:3" x14ac:dyDescent="0.1">
      <c r="A1697" s="1" t="s">
        <v>3445</v>
      </c>
      <c r="B1697" s="1" t="s">
        <v>3407</v>
      </c>
      <c r="C1697" s="1" t="s">
        <v>3446</v>
      </c>
    </row>
    <row r="1698" spans="1:3" x14ac:dyDescent="0.1">
      <c r="A1698" s="1" t="s">
        <v>3447</v>
      </c>
      <c r="B1698" s="1" t="s">
        <v>3407</v>
      </c>
      <c r="C1698" s="1" t="s">
        <v>3448</v>
      </c>
    </row>
    <row r="1699" spans="1:3" x14ac:dyDescent="0.1">
      <c r="A1699" s="1" t="s">
        <v>3449</v>
      </c>
      <c r="B1699" s="1" t="s">
        <v>3407</v>
      </c>
      <c r="C1699" s="1" t="s">
        <v>3450</v>
      </c>
    </row>
    <row r="1700" spans="1:3" x14ac:dyDescent="0.1">
      <c r="A1700" s="1" t="s">
        <v>3451</v>
      </c>
      <c r="B1700" s="1" t="s">
        <v>3407</v>
      </c>
      <c r="C1700" s="1" t="s">
        <v>726</v>
      </c>
    </row>
    <row r="1701" spans="1:3" x14ac:dyDescent="0.1">
      <c r="A1701" s="1" t="s">
        <v>3452</v>
      </c>
      <c r="B1701" s="1" t="s">
        <v>3407</v>
      </c>
      <c r="C1701" s="1" t="s">
        <v>3453</v>
      </c>
    </row>
    <row r="1702" spans="1:3" x14ac:dyDescent="0.1">
      <c r="A1702" s="1" t="s">
        <v>3454</v>
      </c>
      <c r="B1702" s="1" t="s">
        <v>3407</v>
      </c>
      <c r="C1702" s="1" t="s">
        <v>3455</v>
      </c>
    </row>
    <row r="1703" spans="1:3" x14ac:dyDescent="0.1">
      <c r="A1703" s="1" t="s">
        <v>3456</v>
      </c>
      <c r="B1703" s="1" t="s">
        <v>3407</v>
      </c>
      <c r="C1703" s="1" t="s">
        <v>3457</v>
      </c>
    </row>
    <row r="1704" spans="1:3" x14ac:dyDescent="0.1">
      <c r="A1704" s="5" t="s">
        <v>3458</v>
      </c>
      <c r="B1704" s="5" t="s">
        <v>3459</v>
      </c>
      <c r="C1704" s="2"/>
    </row>
    <row r="1705" spans="1:3" x14ac:dyDescent="0.1">
      <c r="A1705" s="1" t="s">
        <v>3460</v>
      </c>
      <c r="B1705" s="1" t="s">
        <v>3459</v>
      </c>
      <c r="C1705" s="1" t="s">
        <v>3461</v>
      </c>
    </row>
    <row r="1706" spans="1:3" x14ac:dyDescent="0.1">
      <c r="A1706" s="1" t="s">
        <v>3462</v>
      </c>
      <c r="B1706" s="1" t="s">
        <v>3459</v>
      </c>
      <c r="C1706" s="1" t="s">
        <v>3463</v>
      </c>
    </row>
    <row r="1707" spans="1:3" x14ac:dyDescent="0.1">
      <c r="A1707" s="1" t="s">
        <v>3464</v>
      </c>
      <c r="B1707" s="1" t="s">
        <v>3459</v>
      </c>
      <c r="C1707" s="1" t="s">
        <v>3465</v>
      </c>
    </row>
    <row r="1708" spans="1:3" x14ac:dyDescent="0.1">
      <c r="A1708" s="1" t="s">
        <v>3466</v>
      </c>
      <c r="B1708" s="1" t="s">
        <v>3459</v>
      </c>
      <c r="C1708" s="1" t="s">
        <v>3467</v>
      </c>
    </row>
    <row r="1709" spans="1:3" x14ac:dyDescent="0.1">
      <c r="A1709" s="1" t="s">
        <v>3468</v>
      </c>
      <c r="B1709" s="1" t="s">
        <v>3459</v>
      </c>
      <c r="C1709" s="1" t="s">
        <v>3469</v>
      </c>
    </row>
    <row r="1710" spans="1:3" x14ac:dyDescent="0.1">
      <c r="A1710" s="1" t="s">
        <v>3470</v>
      </c>
      <c r="B1710" s="1" t="s">
        <v>3459</v>
      </c>
      <c r="C1710" s="1" t="s">
        <v>3471</v>
      </c>
    </row>
    <row r="1711" spans="1:3" x14ac:dyDescent="0.1">
      <c r="A1711" s="1" t="s">
        <v>3472</v>
      </c>
      <c r="B1711" s="1" t="s">
        <v>3459</v>
      </c>
      <c r="C1711" s="1" t="s">
        <v>3473</v>
      </c>
    </row>
    <row r="1712" spans="1:3" x14ac:dyDescent="0.1">
      <c r="A1712" s="1" t="s">
        <v>3474</v>
      </c>
      <c r="B1712" s="1" t="s">
        <v>3459</v>
      </c>
      <c r="C1712" s="1" t="s">
        <v>3475</v>
      </c>
    </row>
    <row r="1713" spans="1:3" x14ac:dyDescent="0.1">
      <c r="A1713" s="1" t="s">
        <v>3476</v>
      </c>
      <c r="B1713" s="1" t="s">
        <v>3459</v>
      </c>
      <c r="C1713" s="1" t="s">
        <v>3477</v>
      </c>
    </row>
    <row r="1714" spans="1:3" x14ac:dyDescent="0.1">
      <c r="A1714" s="1" t="s">
        <v>3478</v>
      </c>
      <c r="B1714" s="1" t="s">
        <v>3459</v>
      </c>
      <c r="C1714" s="1" t="s">
        <v>3479</v>
      </c>
    </row>
    <row r="1715" spans="1:3" x14ac:dyDescent="0.1">
      <c r="A1715" s="1" t="s">
        <v>3480</v>
      </c>
      <c r="B1715" s="1" t="s">
        <v>3459</v>
      </c>
      <c r="C1715" s="1" t="s">
        <v>3481</v>
      </c>
    </row>
    <row r="1716" spans="1:3" x14ac:dyDescent="0.1">
      <c r="A1716" s="1" t="s">
        <v>3482</v>
      </c>
      <c r="B1716" s="1" t="s">
        <v>3459</v>
      </c>
      <c r="C1716" s="1" t="s">
        <v>3483</v>
      </c>
    </row>
    <row r="1717" spans="1:3" x14ac:dyDescent="0.1">
      <c r="A1717" s="1" t="s">
        <v>3484</v>
      </c>
      <c r="B1717" s="1" t="s">
        <v>3459</v>
      </c>
      <c r="C1717" s="1" t="s">
        <v>3485</v>
      </c>
    </row>
    <row r="1718" spans="1:3" x14ac:dyDescent="0.1">
      <c r="A1718" s="1" t="s">
        <v>3486</v>
      </c>
      <c r="B1718" s="1" t="s">
        <v>3459</v>
      </c>
      <c r="C1718" s="1" t="s">
        <v>3487</v>
      </c>
    </row>
    <row r="1719" spans="1:3" x14ac:dyDescent="0.1">
      <c r="A1719" s="1" t="s">
        <v>3488</v>
      </c>
      <c r="B1719" s="1" t="s">
        <v>3459</v>
      </c>
      <c r="C1719" s="1" t="s">
        <v>3489</v>
      </c>
    </row>
    <row r="1720" spans="1:3" x14ac:dyDescent="0.1">
      <c r="A1720" s="1" t="s">
        <v>3490</v>
      </c>
      <c r="B1720" s="1" t="s">
        <v>3459</v>
      </c>
      <c r="C1720" s="1" t="s">
        <v>3491</v>
      </c>
    </row>
    <row r="1721" spans="1:3" x14ac:dyDescent="0.1">
      <c r="A1721" s="1" t="s">
        <v>3492</v>
      </c>
      <c r="B1721" s="1" t="s">
        <v>3459</v>
      </c>
      <c r="C1721" s="1" t="s">
        <v>3493</v>
      </c>
    </row>
    <row r="1722" spans="1:3" x14ac:dyDescent="0.1">
      <c r="A1722" s="1" t="s">
        <v>3494</v>
      </c>
      <c r="B1722" s="1" t="s">
        <v>3459</v>
      </c>
      <c r="C1722" s="1" t="s">
        <v>3495</v>
      </c>
    </row>
    <row r="1723" spans="1:3" x14ac:dyDescent="0.1">
      <c r="A1723" s="1" t="s">
        <v>3496</v>
      </c>
      <c r="B1723" s="1" t="s">
        <v>3459</v>
      </c>
      <c r="C1723" s="1" t="s">
        <v>3497</v>
      </c>
    </row>
    <row r="1724" spans="1:3" x14ac:dyDescent="0.1">
      <c r="A1724" s="1" t="s">
        <v>3498</v>
      </c>
      <c r="B1724" s="1" t="s">
        <v>3459</v>
      </c>
      <c r="C1724" s="1" t="s">
        <v>3499</v>
      </c>
    </row>
    <row r="1725" spans="1:3" x14ac:dyDescent="0.1">
      <c r="A1725" s="1" t="s">
        <v>3500</v>
      </c>
      <c r="B1725" s="1" t="s">
        <v>3459</v>
      </c>
      <c r="C1725" s="1" t="s">
        <v>3501</v>
      </c>
    </row>
    <row r="1726" spans="1:3" x14ac:dyDescent="0.1">
      <c r="A1726" s="1" t="s">
        <v>3502</v>
      </c>
      <c r="B1726" s="1" t="s">
        <v>3459</v>
      </c>
      <c r="C1726" s="1" t="s">
        <v>3503</v>
      </c>
    </row>
    <row r="1727" spans="1:3" x14ac:dyDescent="0.1">
      <c r="A1727" s="1" t="s">
        <v>3504</v>
      </c>
      <c r="B1727" s="1" t="s">
        <v>3459</v>
      </c>
      <c r="C1727" s="1" t="s">
        <v>3505</v>
      </c>
    </row>
    <row r="1728" spans="1:3" x14ac:dyDescent="0.1">
      <c r="A1728" s="1" t="s">
        <v>3506</v>
      </c>
      <c r="B1728" s="1" t="s">
        <v>3459</v>
      </c>
      <c r="C1728" s="1" t="s">
        <v>3507</v>
      </c>
    </row>
    <row r="1729" spans="1:3" x14ac:dyDescent="0.1">
      <c r="A1729" s="1" t="s">
        <v>3508</v>
      </c>
      <c r="B1729" s="1" t="s">
        <v>3459</v>
      </c>
      <c r="C1729" s="1" t="s">
        <v>3509</v>
      </c>
    </row>
    <row r="1730" spans="1:3" x14ac:dyDescent="0.1">
      <c r="A1730" s="1" t="s">
        <v>3510</v>
      </c>
      <c r="B1730" s="1" t="s">
        <v>3459</v>
      </c>
      <c r="C1730" s="1" t="s">
        <v>3511</v>
      </c>
    </row>
    <row r="1731" spans="1:3" x14ac:dyDescent="0.1">
      <c r="A1731" s="1" t="s">
        <v>3512</v>
      </c>
      <c r="B1731" s="1" t="s">
        <v>3459</v>
      </c>
      <c r="C1731" s="1" t="s">
        <v>3513</v>
      </c>
    </row>
    <row r="1732" spans="1:3" x14ac:dyDescent="0.1">
      <c r="A1732" s="1" t="s">
        <v>3514</v>
      </c>
      <c r="B1732" s="1" t="s">
        <v>3459</v>
      </c>
      <c r="C1732" s="1" t="s">
        <v>3515</v>
      </c>
    </row>
    <row r="1733" spans="1:3" x14ac:dyDescent="0.1">
      <c r="A1733" s="1" t="s">
        <v>3516</v>
      </c>
      <c r="B1733" s="1" t="s">
        <v>3459</v>
      </c>
      <c r="C1733" s="1" t="s">
        <v>3517</v>
      </c>
    </row>
    <row r="1734" spans="1:3" x14ac:dyDescent="0.1">
      <c r="A1734" s="1" t="s">
        <v>3518</v>
      </c>
      <c r="B1734" s="1" t="s">
        <v>3459</v>
      </c>
      <c r="C1734" s="1" t="s">
        <v>3519</v>
      </c>
    </row>
    <row r="1735" spans="1:3" x14ac:dyDescent="0.1">
      <c r="A1735" s="1" t="s">
        <v>3520</v>
      </c>
      <c r="B1735" s="1" t="s">
        <v>3459</v>
      </c>
      <c r="C1735" s="1" t="s">
        <v>3521</v>
      </c>
    </row>
    <row r="1736" spans="1:3" x14ac:dyDescent="0.1">
      <c r="A1736" s="1" t="s">
        <v>3522</v>
      </c>
      <c r="B1736" s="1" t="s">
        <v>3459</v>
      </c>
      <c r="C1736" s="1" t="s">
        <v>3523</v>
      </c>
    </row>
    <row r="1737" spans="1:3" x14ac:dyDescent="0.1">
      <c r="A1737" s="1" t="s">
        <v>3524</v>
      </c>
      <c r="B1737" s="1" t="s">
        <v>3459</v>
      </c>
      <c r="C1737" s="1" t="s">
        <v>3525</v>
      </c>
    </row>
    <row r="1738" spans="1:3" x14ac:dyDescent="0.1">
      <c r="A1738" s="1" t="s">
        <v>3526</v>
      </c>
      <c r="B1738" s="1" t="s">
        <v>3459</v>
      </c>
      <c r="C1738" s="1" t="s">
        <v>3527</v>
      </c>
    </row>
    <row r="1739" spans="1:3" x14ac:dyDescent="0.1">
      <c r="A1739" s="1" t="s">
        <v>3528</v>
      </c>
      <c r="B1739" s="1" t="s">
        <v>3459</v>
      </c>
      <c r="C1739" s="1" t="s">
        <v>3529</v>
      </c>
    </row>
    <row r="1740" spans="1:3" x14ac:dyDescent="0.1">
      <c r="A1740" s="1" t="s">
        <v>3530</v>
      </c>
      <c r="B1740" s="1" t="s">
        <v>3459</v>
      </c>
      <c r="C1740" s="1" t="s">
        <v>3531</v>
      </c>
    </row>
    <row r="1741" spans="1:3" x14ac:dyDescent="0.1">
      <c r="A1741" s="1" t="s">
        <v>3532</v>
      </c>
      <c r="B1741" s="1" t="s">
        <v>3459</v>
      </c>
      <c r="C1741" s="1" t="s">
        <v>3533</v>
      </c>
    </row>
    <row r="1742" spans="1:3" x14ac:dyDescent="0.1">
      <c r="A1742" s="1" t="s">
        <v>3534</v>
      </c>
      <c r="B1742" s="1" t="s">
        <v>3459</v>
      </c>
      <c r="C1742" s="1" t="s">
        <v>3535</v>
      </c>
    </row>
    <row r="1743" spans="1:3" x14ac:dyDescent="0.1">
      <c r="A1743" s="1" t="s">
        <v>3536</v>
      </c>
      <c r="B1743" s="1" t="s">
        <v>3459</v>
      </c>
      <c r="C1743" s="1" t="s">
        <v>3537</v>
      </c>
    </row>
    <row r="1744" spans="1:3" x14ac:dyDescent="0.1">
      <c r="A1744" s="1" t="s">
        <v>3538</v>
      </c>
      <c r="B1744" s="1" t="s">
        <v>3459</v>
      </c>
      <c r="C1744" s="1" t="s">
        <v>3539</v>
      </c>
    </row>
    <row r="1745" spans="1:3" x14ac:dyDescent="0.1">
      <c r="A1745" s="1" t="s">
        <v>3540</v>
      </c>
      <c r="B1745" s="1" t="s">
        <v>3459</v>
      </c>
      <c r="C1745" s="1" t="s">
        <v>3541</v>
      </c>
    </row>
    <row r="1746" spans="1:3" x14ac:dyDescent="0.1">
      <c r="A1746" s="1" t="s">
        <v>3542</v>
      </c>
      <c r="B1746" s="1" t="s">
        <v>3459</v>
      </c>
      <c r="C1746" s="1" t="s">
        <v>3543</v>
      </c>
    </row>
    <row r="1747" spans="1:3" x14ac:dyDescent="0.1">
      <c r="A1747" s="1" t="s">
        <v>3544</v>
      </c>
      <c r="B1747" s="1" t="s">
        <v>3459</v>
      </c>
      <c r="C1747" s="1" t="s">
        <v>3545</v>
      </c>
    </row>
    <row r="1748" spans="1:3" x14ac:dyDescent="0.1">
      <c r="A1748" s="5" t="s">
        <v>3546</v>
      </c>
      <c r="B1748" s="5" t="s">
        <v>3547</v>
      </c>
      <c r="C1748" s="2"/>
    </row>
    <row r="1749" spans="1:3" x14ac:dyDescent="0.1">
      <c r="A1749" s="1" t="s">
        <v>3548</v>
      </c>
      <c r="B1749" s="1" t="s">
        <v>3547</v>
      </c>
      <c r="C1749" s="1" t="s">
        <v>3549</v>
      </c>
    </row>
    <row r="1750" spans="1:3" x14ac:dyDescent="0.1">
      <c r="A1750" s="1" t="s">
        <v>3550</v>
      </c>
      <c r="B1750" s="1" t="s">
        <v>3547</v>
      </c>
      <c r="C1750" s="1" t="s">
        <v>3551</v>
      </c>
    </row>
    <row r="1751" spans="1:3" x14ac:dyDescent="0.1">
      <c r="A1751" s="1" t="s">
        <v>3552</v>
      </c>
      <c r="B1751" s="1" t="s">
        <v>3547</v>
      </c>
      <c r="C1751" s="1" t="s">
        <v>3553</v>
      </c>
    </row>
    <row r="1752" spans="1:3" x14ac:dyDescent="0.1">
      <c r="A1752" s="1" t="s">
        <v>3554</v>
      </c>
      <c r="B1752" s="1" t="s">
        <v>3547</v>
      </c>
      <c r="C1752" s="1" t="s">
        <v>3555</v>
      </c>
    </row>
    <row r="1753" spans="1:3" x14ac:dyDescent="0.1">
      <c r="A1753" s="1" t="s">
        <v>3556</v>
      </c>
      <c r="B1753" s="1" t="s">
        <v>3547</v>
      </c>
      <c r="C1753" s="1" t="s">
        <v>3557</v>
      </c>
    </row>
    <row r="1754" spans="1:3" x14ac:dyDescent="0.1">
      <c r="A1754" s="1" t="s">
        <v>3558</v>
      </c>
      <c r="B1754" s="1" t="s">
        <v>3547</v>
      </c>
      <c r="C1754" s="1" t="s">
        <v>3559</v>
      </c>
    </row>
    <row r="1755" spans="1:3" x14ac:dyDescent="0.1">
      <c r="A1755" s="1" t="s">
        <v>3560</v>
      </c>
      <c r="B1755" s="1" t="s">
        <v>3547</v>
      </c>
      <c r="C1755" s="1" t="s">
        <v>3561</v>
      </c>
    </row>
    <row r="1756" spans="1:3" x14ac:dyDescent="0.1">
      <c r="A1756" s="1" t="s">
        <v>3562</v>
      </c>
      <c r="B1756" s="1" t="s">
        <v>3547</v>
      </c>
      <c r="C1756" s="1" t="s">
        <v>3563</v>
      </c>
    </row>
    <row r="1757" spans="1:3" x14ac:dyDescent="0.1">
      <c r="A1757" s="1" t="s">
        <v>3564</v>
      </c>
      <c r="B1757" s="1" t="s">
        <v>3547</v>
      </c>
      <c r="C1757" s="1" t="s">
        <v>3565</v>
      </c>
    </row>
    <row r="1758" spans="1:3" x14ac:dyDescent="0.1">
      <c r="A1758" s="1" t="s">
        <v>3566</v>
      </c>
      <c r="B1758" s="1" t="s">
        <v>3547</v>
      </c>
      <c r="C1758" s="1" t="s">
        <v>3567</v>
      </c>
    </row>
    <row r="1759" spans="1:3" x14ac:dyDescent="0.1">
      <c r="A1759" s="1" t="s">
        <v>3568</v>
      </c>
      <c r="B1759" s="1" t="s">
        <v>3547</v>
      </c>
      <c r="C1759" s="1" t="s">
        <v>3569</v>
      </c>
    </row>
    <row r="1760" spans="1:3" x14ac:dyDescent="0.1">
      <c r="A1760" s="1" t="s">
        <v>3570</v>
      </c>
      <c r="B1760" s="1" t="s">
        <v>3547</v>
      </c>
      <c r="C1760" s="1" t="s">
        <v>3571</v>
      </c>
    </row>
    <row r="1761" spans="1:3" x14ac:dyDescent="0.1">
      <c r="A1761" s="1" t="s">
        <v>3572</v>
      </c>
      <c r="B1761" s="1" t="s">
        <v>3547</v>
      </c>
      <c r="C1761" s="1" t="s">
        <v>3573</v>
      </c>
    </row>
    <row r="1762" spans="1:3" x14ac:dyDescent="0.1">
      <c r="A1762" s="1" t="s">
        <v>3574</v>
      </c>
      <c r="B1762" s="1" t="s">
        <v>3547</v>
      </c>
      <c r="C1762" s="1" t="s">
        <v>3575</v>
      </c>
    </row>
    <row r="1763" spans="1:3" x14ac:dyDescent="0.1">
      <c r="A1763" s="1" t="s">
        <v>3576</v>
      </c>
      <c r="B1763" s="1" t="s">
        <v>3547</v>
      </c>
      <c r="C1763" s="1" t="s">
        <v>3577</v>
      </c>
    </row>
    <row r="1764" spans="1:3" x14ac:dyDescent="0.1">
      <c r="A1764" s="1" t="s">
        <v>3578</v>
      </c>
      <c r="B1764" s="1" t="s">
        <v>3547</v>
      </c>
      <c r="C1764" s="1" t="s">
        <v>3579</v>
      </c>
    </row>
    <row r="1765" spans="1:3" x14ac:dyDescent="0.1">
      <c r="A1765" s="1" t="s">
        <v>3580</v>
      </c>
      <c r="B1765" s="1" t="s">
        <v>3547</v>
      </c>
      <c r="C1765" s="1" t="s">
        <v>3581</v>
      </c>
    </row>
    <row r="1766" spans="1:3" x14ac:dyDescent="0.1">
      <c r="A1766" s="1" t="s">
        <v>3582</v>
      </c>
      <c r="B1766" s="1" t="s">
        <v>3547</v>
      </c>
      <c r="C1766" s="1" t="s">
        <v>3583</v>
      </c>
    </row>
    <row r="1767" spans="1:3" x14ac:dyDescent="0.1">
      <c r="A1767" s="1" t="s">
        <v>3584</v>
      </c>
      <c r="B1767" s="1" t="s">
        <v>3547</v>
      </c>
      <c r="C1767" s="1" t="s">
        <v>3585</v>
      </c>
    </row>
    <row r="1768" spans="1:3" x14ac:dyDescent="0.1">
      <c r="A1768" s="1" t="s">
        <v>3586</v>
      </c>
      <c r="B1768" s="1" t="s">
        <v>3547</v>
      </c>
      <c r="C1768" s="1" t="s">
        <v>3587</v>
      </c>
    </row>
    <row r="1769" spans="1:3" x14ac:dyDescent="0.1">
      <c r="A1769" s="1" t="s">
        <v>3588</v>
      </c>
      <c r="B1769" s="1" t="s">
        <v>3547</v>
      </c>
      <c r="C1769" s="1" t="s">
        <v>3589</v>
      </c>
    </row>
    <row r="1770" spans="1:3" x14ac:dyDescent="0.1">
      <c r="A1770" s="1" t="s">
        <v>3590</v>
      </c>
      <c r="B1770" s="1" t="s">
        <v>3547</v>
      </c>
      <c r="C1770" s="1" t="s">
        <v>3591</v>
      </c>
    </row>
    <row r="1771" spans="1:3" x14ac:dyDescent="0.1">
      <c r="A1771" s="1" t="s">
        <v>3592</v>
      </c>
      <c r="B1771" s="1" t="s">
        <v>3547</v>
      </c>
      <c r="C1771" s="1" t="s">
        <v>3593</v>
      </c>
    </row>
    <row r="1772" spans="1:3" x14ac:dyDescent="0.1">
      <c r="A1772" s="1" t="s">
        <v>3594</v>
      </c>
      <c r="B1772" s="1" t="s">
        <v>3547</v>
      </c>
      <c r="C1772" s="1" t="s">
        <v>3595</v>
      </c>
    </row>
    <row r="1773" spans="1:3" x14ac:dyDescent="0.1">
      <c r="A1773" s="1" t="s">
        <v>3596</v>
      </c>
      <c r="B1773" s="1" t="s">
        <v>3547</v>
      </c>
      <c r="C1773" s="1" t="s">
        <v>3597</v>
      </c>
    </row>
    <row r="1774" spans="1:3" x14ac:dyDescent="0.1">
      <c r="A1774" s="1" t="s">
        <v>3598</v>
      </c>
      <c r="B1774" s="1" t="s">
        <v>3547</v>
      </c>
      <c r="C1774" s="1" t="s">
        <v>3599</v>
      </c>
    </row>
    <row r="1775" spans="1:3" x14ac:dyDescent="0.1">
      <c r="A1775" s="1" t="s">
        <v>3600</v>
      </c>
      <c r="B1775" s="1" t="s">
        <v>3547</v>
      </c>
      <c r="C1775" s="1" t="s">
        <v>3601</v>
      </c>
    </row>
    <row r="1776" spans="1:3" x14ac:dyDescent="0.1">
      <c r="A1776" s="1" t="s">
        <v>3602</v>
      </c>
      <c r="B1776" s="1" t="s">
        <v>3547</v>
      </c>
      <c r="C1776" s="1" t="s">
        <v>3603</v>
      </c>
    </row>
    <row r="1777" spans="1:3" x14ac:dyDescent="0.1">
      <c r="A1777" s="1" t="s">
        <v>3604</v>
      </c>
      <c r="B1777" s="1" t="s">
        <v>3547</v>
      </c>
      <c r="C1777" s="1" t="s">
        <v>3605</v>
      </c>
    </row>
    <row r="1778" spans="1:3" x14ac:dyDescent="0.1">
      <c r="A1778" s="1" t="s">
        <v>3606</v>
      </c>
      <c r="B1778" s="1" t="s">
        <v>3547</v>
      </c>
      <c r="C1778" s="1" t="s">
        <v>3607</v>
      </c>
    </row>
    <row r="1779" spans="1:3" x14ac:dyDescent="0.1">
      <c r="A1779" s="1" t="s">
        <v>3608</v>
      </c>
      <c r="B1779" s="1" t="s">
        <v>3547</v>
      </c>
      <c r="C1779" s="1" t="s">
        <v>3609</v>
      </c>
    </row>
    <row r="1780" spans="1:3" x14ac:dyDescent="0.1">
      <c r="A1780" s="1" t="s">
        <v>3610</v>
      </c>
      <c r="B1780" s="1" t="s">
        <v>3547</v>
      </c>
      <c r="C1780" s="1" t="s">
        <v>3611</v>
      </c>
    </row>
    <row r="1781" spans="1:3" x14ac:dyDescent="0.1">
      <c r="A1781" s="1" t="s">
        <v>3612</v>
      </c>
      <c r="B1781" s="1" t="s">
        <v>3547</v>
      </c>
      <c r="C1781" s="1" t="s">
        <v>3613</v>
      </c>
    </row>
    <row r="1782" spans="1:3" x14ac:dyDescent="0.1">
      <c r="A1782" s="1" t="s">
        <v>3614</v>
      </c>
      <c r="B1782" s="1" t="s">
        <v>3547</v>
      </c>
      <c r="C1782" s="1" t="s">
        <v>3615</v>
      </c>
    </row>
    <row r="1783" spans="1:3" x14ac:dyDescent="0.1">
      <c r="A1783" s="1" t="s">
        <v>3616</v>
      </c>
      <c r="B1783" s="1" t="s">
        <v>3547</v>
      </c>
      <c r="C1783" s="1" t="s">
        <v>3617</v>
      </c>
    </row>
    <row r="1784" spans="1:3" x14ac:dyDescent="0.1">
      <c r="A1784" s="1" t="s">
        <v>3618</v>
      </c>
      <c r="B1784" s="1" t="s">
        <v>3547</v>
      </c>
      <c r="C1784" s="1" t="s">
        <v>3619</v>
      </c>
    </row>
    <row r="1785" spans="1:3" x14ac:dyDescent="0.1">
      <c r="A1785" s="1" t="s">
        <v>3620</v>
      </c>
      <c r="B1785" s="1" t="s">
        <v>3547</v>
      </c>
      <c r="C1785" s="1" t="s">
        <v>3621</v>
      </c>
    </row>
    <row r="1786" spans="1:3" x14ac:dyDescent="0.1">
      <c r="A1786" s="1" t="s">
        <v>3622</v>
      </c>
      <c r="B1786" s="1" t="s">
        <v>3547</v>
      </c>
      <c r="C1786" s="1" t="s">
        <v>3623</v>
      </c>
    </row>
    <row r="1787" spans="1:3" x14ac:dyDescent="0.1">
      <c r="A1787" s="1" t="s">
        <v>3624</v>
      </c>
      <c r="B1787" s="1" t="s">
        <v>3547</v>
      </c>
      <c r="C1787" s="1" t="s">
        <v>3625</v>
      </c>
    </row>
    <row r="1788" spans="1:3" x14ac:dyDescent="0.1">
      <c r="A1788" s="1" t="s">
        <v>3626</v>
      </c>
      <c r="B1788" s="1" t="s">
        <v>3547</v>
      </c>
      <c r="C1788" s="1" t="s">
        <v>3627</v>
      </c>
    </row>
    <row r="1789" spans="1:3" x14ac:dyDescent="0.1">
      <c r="A1789" s="1" t="s">
        <v>3628</v>
      </c>
      <c r="B1789" s="1" t="s">
        <v>3547</v>
      </c>
      <c r="C1789" s="1" t="s">
        <v>3629</v>
      </c>
    </row>
  </sheetData>
  <phoneticPr fontId="1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調査票Ａ（受入額・募集に要する経費関係） </vt:lpstr>
      <vt:lpstr>集計</vt:lpstr>
      <vt:lpstr>団体コード</vt:lpstr>
      <vt:lpstr>調査票Ａ（受入額・募集に要する経費関係）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Koyama Hokuto</dc:creator>
  <dcterms:created xsi:type="dcterms:W3CDTF">2026-02-12T15:44:49Z</dcterms:created>
</cp:coreProperties>
</file>